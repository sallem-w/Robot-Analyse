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data!$A$1:$EO$99982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AS2" i="6" l="1"/>
  <c r="AS2" i="3"/>
  <c r="AV2" i="6" l="1"/>
  <c r="AU2" i="6"/>
  <c r="X2" i="6"/>
  <c r="AV2" i="3"/>
  <c r="AU2" i="3"/>
  <c r="X2" i="3"/>
  <c r="W2" i="3"/>
  <c r="J2" i="3"/>
  <c r="I2" i="3"/>
  <c r="W2" i="6" l="1"/>
  <c r="J3" i="6"/>
  <c r="J4" i="6"/>
  <c r="J5" i="6"/>
  <c r="J2" i="6"/>
  <c r="I2" i="6"/>
  <c r="DR2" i="6" l="1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W2" i="6"/>
  <c r="AT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V2" i="6"/>
  <c r="U2" i="6"/>
  <c r="T2" i="6"/>
  <c r="S2" i="6"/>
  <c r="R2" i="6"/>
  <c r="Q2" i="6"/>
  <c r="P2" i="6"/>
  <c r="O2" i="6"/>
  <c r="N2" i="6"/>
  <c r="M2" i="6"/>
  <c r="L2" i="6"/>
  <c r="K2" i="6"/>
  <c r="H2" i="6"/>
  <c r="G2" i="6"/>
  <c r="F2" i="6"/>
  <c r="E2" i="6"/>
  <c r="D2" i="6"/>
  <c r="C2" i="6"/>
  <c r="B2" i="6"/>
  <c r="A2" i="6"/>
  <c r="DM2" i="3"/>
  <c r="DN2" i="3"/>
  <c r="DO2" i="3"/>
  <c r="DP2" i="3"/>
  <c r="DQ2" i="3"/>
  <c r="DR2" i="3"/>
  <c r="DL2" i="3"/>
  <c r="DK2" i="3"/>
  <c r="DJ2" i="3"/>
  <c r="DI2" i="3"/>
  <c r="DH2" i="3"/>
  <c r="DG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CR2" i="3"/>
  <c r="CQ2" i="3"/>
  <c r="CP2" i="3"/>
  <c r="CO2" i="3"/>
  <c r="CN2" i="3"/>
  <c r="CM2" i="3"/>
  <c r="CK2" i="3"/>
  <c r="CJ2" i="3"/>
  <c r="CH2" i="3"/>
  <c r="CG2" i="3"/>
  <c r="CL2" i="3"/>
  <c r="CI2" i="3"/>
  <c r="CF2" i="3"/>
  <c r="AK2" i="3"/>
  <c r="AG2" i="3"/>
  <c r="AH2" i="3"/>
  <c r="AI2" i="3"/>
  <c r="BY2" i="3" l="1"/>
  <c r="BZ2" i="3"/>
  <c r="CA2" i="3"/>
  <c r="CB2" i="3"/>
  <c r="CC2" i="3"/>
  <c r="CD2" i="3"/>
  <c r="CE2" i="3"/>
  <c r="BX2" i="3"/>
  <c r="BV2" i="3"/>
  <c r="BW2" i="3"/>
  <c r="BU2" i="3"/>
  <c r="BT2" i="3"/>
  <c r="BS2" i="3"/>
  <c r="BR2" i="3"/>
  <c r="BI2" i="3"/>
  <c r="BJ2" i="3"/>
  <c r="BK2" i="3"/>
  <c r="BL2" i="3"/>
  <c r="BM2" i="3"/>
  <c r="BN2" i="3"/>
  <c r="BO2" i="3"/>
  <c r="BP2" i="3"/>
  <c r="BQ2" i="3"/>
  <c r="BH2" i="3"/>
  <c r="BG2" i="3"/>
  <c r="BF2" i="3"/>
  <c r="BA2" i="3"/>
  <c r="BB2" i="3"/>
  <c r="BC2" i="3"/>
  <c r="BD2" i="3"/>
  <c r="BE2" i="3"/>
  <c r="AZ2" i="3"/>
  <c r="AW2" i="3"/>
  <c r="AT2" i="3"/>
  <c r="AM2" i="3"/>
  <c r="AN2" i="3"/>
  <c r="AO2" i="3"/>
  <c r="AP2" i="3"/>
  <c r="AQ2" i="3"/>
  <c r="AR2" i="3"/>
  <c r="AL2" i="3"/>
  <c r="AJ2" i="3"/>
  <c r="U2" i="3"/>
  <c r="V2" i="3"/>
  <c r="Y2" i="3"/>
  <c r="Z2" i="3"/>
  <c r="AA2" i="3"/>
  <c r="AB2" i="3"/>
  <c r="AC2" i="3"/>
  <c r="AD2" i="3"/>
  <c r="AE2" i="3"/>
  <c r="AF2" i="3"/>
  <c r="T2" i="3"/>
  <c r="S2" i="3"/>
  <c r="R2" i="3"/>
  <c r="Q2" i="3"/>
  <c r="P2" i="3"/>
  <c r="O2" i="3"/>
  <c r="N2" i="3"/>
  <c r="M2" i="3"/>
  <c r="L2" i="3"/>
  <c r="K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H2" i="3"/>
  <c r="G2" i="3"/>
  <c r="F2" i="3"/>
  <c r="D2" i="3"/>
  <c r="E2" i="3"/>
  <c r="C2" i="3"/>
  <c r="B2" i="3"/>
  <c r="A2" i="3"/>
</calcChain>
</file>

<file path=xl/sharedStrings.xml><?xml version="1.0" encoding="utf-8"?>
<sst xmlns="http://schemas.openxmlformats.org/spreadsheetml/2006/main" count="1232" uniqueCount="650">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</sst>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>
      <selection sqref="A1:XFD1048576"/>
    </sheetView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R9990"/>
  <sheetViews>
    <sheetView showGridLines="0" workbookViewId="0">
      <pane xSplit="1" ySplit="1" topLeftCell="AG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5.140625" style="2" bestFit="1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6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22" t="s">
        <v>572</v>
      </c>
      <c r="DG1" s="9" t="s">
        <v>617</v>
      </c>
      <c r="DH1" s="6" t="s">
        <v>616</v>
      </c>
      <c r="DI1" s="22" t="s">
        <v>618</v>
      </c>
      <c r="DJ1" s="5" t="s">
        <v>573</v>
      </c>
      <c r="DK1" s="22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ht="14.45" x14ac:dyDescent="0.35">
      <c r="A2" s="1">
        <f>data_a_traiter!BN2</f>
        <v>0</v>
      </c>
      <c r="B2" s="2">
        <f>data_a_traiter!EP2</f>
        <v>0</v>
      </c>
      <c r="C2" s="18">
        <f>data_a_traiter!DW2</f>
        <v>0</v>
      </c>
      <c r="D2" s="2" t="str">
        <f>IF(LEFT(data_a_traiter!BN2,2)="GE","Oui","Non")</f>
        <v>Non</v>
      </c>
      <c r="E2" s="2">
        <f>data_a_traiter!D2</f>
        <v>0</v>
      </c>
      <c r="F2" s="19">
        <f>data_a_traiter!B2</f>
        <v>0</v>
      </c>
      <c r="G2" s="2">
        <f>data_a_traiter!H2</f>
        <v>0</v>
      </c>
      <c r="H2" s="2" t="str">
        <f>RIGHT(data_a_traiter!K2,2)&amp;"/"&amp;LEFT(RIGHT(data_a_traiter!K2,4),2)&amp;"/"&amp;LEFT(data_a_traiter!K2,4)</f>
        <v>//</v>
      </c>
      <c r="I2" s="2" t="str">
        <f>IFERROR(VLOOKUP("SITUATION_FAMILLE"&amp;data_a_traiter!L2,'Table correspondance'!C:D,2,0),"")</f>
        <v/>
      </c>
      <c r="J2" s="2" t="str">
        <f>IFERROR(VLOOKUP("CAT_SOCIALE"&amp;data_a_traiter!M2,'Table correspondance'!C:D,2,0),"")</f>
        <v/>
      </c>
      <c r="K2" s="2">
        <f>data_a_traiter!CK2</f>
        <v>0</v>
      </c>
      <c r="L2" s="2">
        <f>data_a_traiter!O2</f>
        <v>0</v>
      </c>
      <c r="M2" s="2">
        <f>data_a_traiter!P2</f>
        <v>0</v>
      </c>
      <c r="N2" s="2">
        <f>data_a_traiter!Q2</f>
        <v>0</v>
      </c>
      <c r="O2" s="2" t="str">
        <f>IF(data_a_traiter!R2="","",data_a_traiter!R2)</f>
        <v/>
      </c>
      <c r="P2" s="19" t="str">
        <f>RIGHT(data_a_traiter!G2,2)&amp;"/"&amp;LEFT(RIGHT(data_a_traiter!G2,4),2)&amp;"/"&amp;LEFT(data_a_traiter!G2,4)</f>
        <v>//</v>
      </c>
      <c r="Q2" s="2">
        <f>data_a_traiter!BC2</f>
        <v>0</v>
      </c>
      <c r="R2" s="2" t="str">
        <f>IF(data_a_traiter!E2="","",data_a_traiter!E2)</f>
        <v/>
      </c>
      <c r="S2" s="21" t="str">
        <f>IF(data_a_traiter!F2="","",data_a_traiter!F2)</f>
        <v/>
      </c>
      <c r="T2" s="2" t="str">
        <f>IF(data_a_traiter!S2="","",data_a_traiter!S2)</f>
        <v/>
      </c>
      <c r="U2" s="2" t="str">
        <f>IF(data_a_traiter!T2="","",data_a_traiter!T2)</f>
        <v/>
      </c>
      <c r="V2" s="2" t="str">
        <f>IF(data_a_traiter!U2="","",data_a_traiter!U2)</f>
        <v/>
      </c>
      <c r="W2" s="2" t="str">
        <f>IF(data_a_traiter!V2="","",VLOOKUP("COMP_NUM_VOIE"&amp;data_a_traiter!V2,'Table correspondance'!C:D,2,0))</f>
        <v/>
      </c>
      <c r="X2" s="2" t="str">
        <f>IF(data_a_traiter!W2="","",VLOOKUP("ADRESSE_NAT_VOIE"&amp;data_a_traiter!W2,'Table correspondance'!C:D,2,0))</f>
        <v/>
      </c>
      <c r="Y2" s="2" t="str">
        <f>IF(data_a_traiter!X2="","",data_a_traiter!X2)</f>
        <v/>
      </c>
      <c r="Z2" s="2" t="str">
        <f>IF(data_a_traiter!Y2="","",data_a_traiter!Y2)</f>
        <v/>
      </c>
      <c r="AA2" s="2" t="str">
        <f>IF(data_a_traiter!Z2="","",data_a_traiter!Z2)</f>
        <v/>
      </c>
      <c r="AB2" s="2" t="str">
        <f>IF(data_a_traiter!AA2="","",data_a_traiter!AA2)</f>
        <v/>
      </c>
      <c r="AC2" s="2" t="str">
        <f>IF(data_a_traiter!AB2="","",data_a_traiter!AB2)</f>
        <v/>
      </c>
      <c r="AD2" s="2" t="str">
        <f>IF(data_a_traiter!AC2="","",data_a_traiter!AC2)</f>
        <v/>
      </c>
      <c r="AE2" s="2" t="str">
        <f>IF(data_a_traiter!AD2="","",data_a_traiter!AD2)</f>
        <v/>
      </c>
      <c r="AF2" s="21" t="str">
        <f>IF(data_a_traiter!AE2="","",data_a_traiter!AE2)</f>
        <v/>
      </c>
      <c r="AG2" s="2" t="str">
        <f>IF(data_a_traiter!AG2="","",IF(LEN(data_a_traiter!AG2)=9,0&amp;data_a_traiter!AG2,data_a_traiter!AG2))</f>
        <v/>
      </c>
      <c r="AH2" s="2" t="str">
        <f>IF(data_a_traiter!AH2="","",IF(LEN(data_a_traiter!AH2)=9,0&amp;data_a_traiter!AH2,data_a_traiter!AH2))</f>
        <v/>
      </c>
      <c r="AI2" s="2" t="str">
        <f>IF(data_a_traiter!AI2="","",IF(LEN(data_a_traiter!AI2)=9,0&amp;data_a_traiter!AI2,data_a_traiter!AI2))</f>
        <v/>
      </c>
      <c r="AJ2" s="2" t="str">
        <f>IF(data_a_traiter!AJ2="","",data_a_traiter!AJ2)</f>
        <v/>
      </c>
      <c r="AK2" s="21" t="str">
        <f>IF(data_a_traiter!AK2="","",IF(LEN(data_a_traiter!AK2)=9,0&amp;data_a_traiter!AK2,data_a_traiter!AK2))</f>
        <v/>
      </c>
      <c r="AL2" s="2" t="str">
        <f>IF(data_a_traiter!AL2="","",data_a_traiter!AL2)</f>
        <v/>
      </c>
      <c r="AM2" s="2" t="str">
        <f>IF(data_a_traiter!AM2="","",data_a_traiter!AM2)</f>
        <v/>
      </c>
      <c r="AN2" s="2" t="str">
        <f>IF(data_a_traiter!AN2="","",data_a_traiter!AN2)</f>
        <v/>
      </c>
      <c r="AO2" s="2" t="str">
        <f>IF(data_a_traiter!AO2="","",data_a_traiter!AO2)</f>
        <v/>
      </c>
      <c r="AP2" s="2" t="str">
        <f>IF(data_a_traiter!AP2="","",data_a_traiter!AP2)</f>
        <v/>
      </c>
      <c r="AQ2" s="2" t="str">
        <f>IF(data_a_traiter!AQ2="","",data_a_traiter!AQ2)</f>
        <v/>
      </c>
      <c r="AR2" s="2" t="str">
        <f>IF(data_a_traiter!AR2="","",data_a_traiter!AR2)</f>
        <v/>
      </c>
      <c r="AS2" s="2" t="str">
        <f>IF(data_a_traiter!AS2="","",RIGHT(data_a_traiter!AS2,2)&amp;"/"&amp;LEFT(RIGHT(data_a_traiter!AS2,4),2)&amp;"/"&amp;LEFT(data_a_traiter!AS2,4))</f>
        <v/>
      </c>
      <c r="AT2" s="21" t="str">
        <f>IF(data_a_traiter!AT2="","",data_a_traiter!AT2)</f>
        <v/>
      </c>
      <c r="AU2" s="2" t="str">
        <f>IF(data_a_traiter!CC2="","",VLOOKUP("MODE_PAIE"&amp;data_a_traiter!CC2,'Table correspondance'!C:D,2,0))</f>
        <v/>
      </c>
      <c r="AV2" s="2" t="str">
        <f>IF(data_a_traiter!CD2="","",VLOOKUP("PERIODICITE"&amp;data_a_traiter!CD2,'Table correspondance'!C:D,2,0))</f>
        <v/>
      </c>
      <c r="AW2" s="2">
        <f>data_a_traiter!CE2</f>
        <v>0</v>
      </c>
      <c r="AX2" s="2" t="s">
        <v>547</v>
      </c>
      <c r="AY2" s="21" t="s">
        <v>649</v>
      </c>
      <c r="AZ2" s="2" t="str">
        <f>IF(data_a_traiter!AU2="","",data_a_traiter!AU2)</f>
        <v/>
      </c>
      <c r="BA2" s="2" t="str">
        <f>IF(data_a_traiter!AV2="","",data_a_traiter!AV2)</f>
        <v/>
      </c>
      <c r="BB2" s="2" t="str">
        <f>IF(data_a_traiter!AW2="","",data_a_traiter!AW2)</f>
        <v/>
      </c>
      <c r="BC2" s="3" t="str">
        <f>IF(data_a_traiter!AX2="","",data_a_traiter!AX2)</f>
        <v/>
      </c>
      <c r="BD2" s="2" t="str">
        <f>IF(data_a_traiter!AY2="","",data_a_traiter!AY2)</f>
        <v/>
      </c>
      <c r="BE2" s="2" t="str">
        <f>IF(data_a_traiter!AZ2="","",data_a_traiter!AZ2)</f>
        <v/>
      </c>
      <c r="BF2" s="2" t="str">
        <f>IF(data_a_traiter!BA2="O","Oui","Non")</f>
        <v>Non</v>
      </c>
      <c r="BG2" s="21" t="str">
        <f>IF(data_a_traiter!CI2="O","Oui","Non")</f>
        <v>Non</v>
      </c>
      <c r="BH2" s="2" t="str">
        <f>IF(data_a_traiter!BD2="","",data_a_traiter!BD2)</f>
        <v/>
      </c>
      <c r="BI2" s="2" t="str">
        <f>IF(data_a_traiter!BE2="","",data_a_traiter!BE2)</f>
        <v/>
      </c>
      <c r="BJ2" s="2" t="str">
        <f>IF(data_a_traiter!BF2="","",data_a_traiter!BF2)</f>
        <v/>
      </c>
      <c r="BK2" s="2" t="str">
        <f>IF(data_a_traiter!BG2="","",data_a_traiter!BG2)</f>
        <v/>
      </c>
      <c r="BL2" s="2" t="str">
        <f>IF(data_a_traiter!BH2="","",data_a_traiter!BH2)</f>
        <v/>
      </c>
      <c r="BM2" s="2" t="str">
        <f>IF(data_a_traiter!BI2="","",data_a_traiter!BI2)</f>
        <v/>
      </c>
      <c r="BN2" s="2" t="str">
        <f>IF(data_a_traiter!BJ2="","",data_a_traiter!BJ2)</f>
        <v/>
      </c>
      <c r="BO2" s="2" t="str">
        <f>IF(data_a_traiter!BK2="","",data_a_traiter!BK2)</f>
        <v/>
      </c>
      <c r="BP2" s="2" t="str">
        <f>IF(data_a_traiter!BL2="","",data_a_traiter!BL2)</f>
        <v/>
      </c>
      <c r="BQ2" s="21" t="str">
        <f>IF(data_a_traiter!BM2="","",data_a_traiter!BM2)</f>
        <v/>
      </c>
      <c r="BR2" s="2" t="str">
        <f>IF(data_a_traiter!BO2="N","Non","Oui")</f>
        <v>Oui</v>
      </c>
      <c r="BS2" s="2" t="str">
        <f>IF(data_a_traiter!BP2="","",data_a_traiter!BP2)</f>
        <v/>
      </c>
      <c r="BT2" s="2" t="str">
        <f>RIGHT(data_a_traiter!BQ2,2)&amp;"/"&amp;LEFT(RIGHT(data_a_traiter!BQ2,4),2)&amp;"/"&amp;LEFT(data_a_traiter!BQ2,4)</f>
        <v>//</v>
      </c>
      <c r="BU2" s="2" t="str">
        <f>IF(data_a_traiter!BR2="","",data_a_traiter!BR2)</f>
        <v/>
      </c>
      <c r="BV2" s="2" t="str">
        <f>IF(data_a_traiter!BS2="","",data_a_traiter!BS2)</f>
        <v/>
      </c>
      <c r="BW2" s="21" t="str">
        <f>IF(data_a_traiter!BT2="","",data_a_traiter!BT2)</f>
        <v/>
      </c>
      <c r="BX2" s="2" t="str">
        <f>IF(data_a_traiter!BU2="","",data_a_traiter!BU2)</f>
        <v/>
      </c>
      <c r="BY2" s="2" t="str">
        <f>IF(data_a_traiter!BV2="","",data_a_traiter!BV2)</f>
        <v/>
      </c>
      <c r="BZ2" s="2" t="str">
        <f>IF(data_a_traiter!BW2="","",data_a_traiter!BW2)</f>
        <v/>
      </c>
      <c r="CA2" s="2" t="str">
        <f>IF(data_a_traiter!BX2="","",data_a_traiter!BX2)</f>
        <v/>
      </c>
      <c r="CB2" s="2" t="str">
        <f>IF(data_a_traiter!BY2="","",data_a_traiter!BY2)</f>
        <v/>
      </c>
      <c r="CC2" s="2" t="str">
        <f>IF(data_a_traiter!BZ2="","",data_a_traiter!BZ2)</f>
        <v/>
      </c>
      <c r="CD2" s="2" t="str">
        <f>IF(data_a_traiter!CA2="","",data_a_traiter!CA2)</f>
        <v/>
      </c>
      <c r="CE2" s="21" t="str">
        <f>IF(data_a_traiter!CB2="","",data_a_traiter!CB2)</f>
        <v/>
      </c>
      <c r="CF2" s="2" t="str">
        <f>IF(data_a_traiter!CL2="","",data_a_traiter!CL2)</f>
        <v/>
      </c>
      <c r="CG2" s="2" t="str">
        <f>IF(data_a_traiter!CM2="","",RIGHT(data_a_traiter!CM2,2)&amp;"/"&amp;LEFT(RIGHT(data_a_traiter!CM2,4),2)&amp;"/"&amp;LEFT(data_a_traiter!CM2,4))</f>
        <v/>
      </c>
      <c r="CH2" s="2" t="str">
        <f>IF(data_a_traiter!CN2="","",RIGHT(data_a_traiter!CN2,2)&amp;"/"&amp;LEFT(RIGHT(data_a_traiter!CN2,4),2)&amp;"/"&amp;LEFT(data_a_traiter!CN2,4))</f>
        <v/>
      </c>
      <c r="CI2" s="2" t="str">
        <f>IF(data_a_traiter!CO2="","",data_a_traiter!CO2)</f>
        <v/>
      </c>
      <c r="CJ2" s="2" t="str">
        <f>IF(data_a_traiter!CP2="","",RIGHT(data_a_traiter!CP2,2)&amp;"/"&amp;LEFT(RIGHT(data_a_traiter!CP2,4),2)&amp;"/"&amp;LEFT(data_a_traiter!CP2,4))</f>
        <v/>
      </c>
      <c r="CK2" s="2" t="str">
        <f>IF(data_a_traiter!CQ2="","",RIGHT(data_a_traiter!CQ2,2)&amp;"/"&amp;LEFT(RIGHT(data_a_traiter!CQ2,4),2)&amp;"/"&amp;LEFT(data_a_traiter!CQ2,4))</f>
        <v/>
      </c>
      <c r="CL2" s="2" t="str">
        <f>IF(data_a_traiter!CR2="","",data_a_traiter!CR2)</f>
        <v/>
      </c>
      <c r="CM2" s="24" t="str">
        <f>IF(data_a_traiter!CS2="","",RIGHT(data_a_traiter!CS2,2)&amp;"/"&amp;LEFT(RIGHT(data_a_traiter!CS2,4),2)&amp;"/"&amp;LEFT(data_a_traiter!CS2,4))</f>
        <v/>
      </c>
      <c r="CN2" s="21" t="str">
        <f>IF(data_a_traiter!CT2="","",RIGHT(data_a_traiter!CT2,2)&amp;"/"&amp;LEFT(RIGHT(data_a_traiter!CT2,4),2)&amp;"/"&amp;LEFT(data_a_traiter!CT2,4))</f>
        <v/>
      </c>
      <c r="CO2" s="2" t="str">
        <f>IF(data_a_traiter!CU2="","",data_a_traiter!CU2)</f>
        <v/>
      </c>
      <c r="CP2" s="2" t="str">
        <f>IF(data_a_traiter!CV2="","",data_a_traiter!CV2)</f>
        <v/>
      </c>
      <c r="CQ2" s="21" t="str">
        <f>IF(data_a_traiter!CW2="","",RIGHT(data_a_traiter!CW2,2)&amp;"/"&amp;LEFT(RIGHT(data_a_traiter!CW2,4),2)&amp;"/"&amp;LEFT(data_a_traiter!CW2,4))</f>
        <v/>
      </c>
      <c r="CR2" s="2" t="str">
        <f>IF(data_a_traiter!CX2="","",data_a_traiter!CX2)</f>
        <v/>
      </c>
      <c r="CS2" s="2" t="str">
        <f>IF(data_a_traiter!CY2="","",data_a_traiter!CY2)</f>
        <v/>
      </c>
      <c r="CT2" s="2" t="str">
        <f>IF(data_a_traiter!CZ2="","",data_a_traiter!CZ2)</f>
        <v/>
      </c>
      <c r="CU2" s="2" t="str">
        <f>IF(data_a_traiter!DA2="","",data_a_traiter!DA2)</f>
        <v/>
      </c>
      <c r="CV2" s="2" t="str">
        <f>IF(data_a_traiter!DB2="","",data_a_traiter!DB2)</f>
        <v/>
      </c>
      <c r="CW2" s="2" t="str">
        <f>IF(data_a_traiter!DC2="","",data_a_traiter!DC2)</f>
        <v/>
      </c>
      <c r="CX2" s="2" t="str">
        <f>IF(data_a_traiter!DD2="","",data_a_traiter!DD2)</f>
        <v/>
      </c>
      <c r="CY2" s="2" t="str">
        <f>IF(data_a_traiter!DE2="","",data_a_traiter!DE2)</f>
        <v/>
      </c>
      <c r="CZ2" s="2" t="str">
        <f>IF(data_a_traiter!DF2="","",data_a_traiter!DF2)</f>
        <v/>
      </c>
      <c r="DA2" s="2" t="str">
        <f>IF(data_a_traiter!DG2="","",data_a_traiter!DG2)</f>
        <v/>
      </c>
      <c r="DB2" s="2" t="str">
        <f>IF(data_a_traiter!DH2="","",data_a_traiter!DH2)</f>
        <v/>
      </c>
      <c r="DC2" s="2" t="str">
        <f>IF(data_a_traiter!DI2="","",data_a_traiter!DI2)</f>
        <v/>
      </c>
      <c r="DD2" s="2" t="str">
        <f>IF(data_a_traiter!DJ2="","",data_a_traiter!DJ2)</f>
        <v/>
      </c>
      <c r="DE2" s="2" t="str">
        <f>IF(data_a_traiter!DK2="","",data_a_traiter!DK2)</f>
        <v/>
      </c>
      <c r="DF2" s="21" t="str">
        <f>IF(data_a_traiter!DL2="","",data_a_traiter!DL2)</f>
        <v/>
      </c>
      <c r="DG2" s="2" t="str">
        <f>IF(data_a_traiter!DM2="","",data_a_traiter!DM2)</f>
        <v/>
      </c>
      <c r="DH2" s="2" t="str">
        <f>IF(data_a_traiter!DN2="","",RIGHT(data_a_traiter!DN2,2)&amp;"/"&amp;LEFT(RIGHT(data_a_traiter!DN2,4),2)&amp;"/"&amp;LEFT(data_a_traiter!DN2,4))</f>
        <v/>
      </c>
      <c r="DI2" s="21" t="str">
        <f>IF(data_a_traiter!DO2="","",RIGHT(data_a_traiter!DO2,2)&amp;"/"&amp;LEFT(RIGHT(data_a_traiter!DO2,4),2)&amp;"/"&amp;LEFT(data_a_traiter!DO2,4))</f>
        <v/>
      </c>
      <c r="DJ2" s="2" t="str">
        <f>IF(data_a_traiter!DP2="","",data_a_traiter!DP2)</f>
        <v/>
      </c>
      <c r="DK2" s="21" t="str">
        <f>IF(data_a_traiter!DQ2="","",RIGHT(data_a_traiter!DQ2,2)&amp;"/"&amp;LEFT(RIGHT(data_a_traiter!DQ2,4),2)&amp;"/"&amp;LEFT(data_a_traiter!DQ2,4))</f>
        <v/>
      </c>
      <c r="DL2" s="2" t="str">
        <f>IF(data_a_traiter!DX2="","",data_a_traiter!DX2)</f>
        <v/>
      </c>
      <c r="DM2" s="2" t="str">
        <f>IF(data_a_traiter!DY2="","",data_a_traiter!DY2)</f>
        <v/>
      </c>
      <c r="DN2" s="2" t="str">
        <f>IF(data_a_traiter!DZ2="","",data_a_traiter!DZ2)</f>
        <v/>
      </c>
      <c r="DO2" s="2" t="str">
        <f>IF(data_a_traiter!EA2="","",data_a_traiter!EA2)</f>
        <v/>
      </c>
      <c r="DP2" s="2" t="str">
        <f>IF(data_a_traiter!EB2="","",data_a_traiter!EB2)</f>
        <v/>
      </c>
      <c r="DQ2" s="2" t="str">
        <f>IF(data_a_traiter!EC2="","",data_a_traiter!EC2)</f>
        <v/>
      </c>
      <c r="DR2" s="21" t="str">
        <f>IF(data_a_traiter!ED2="","",data_a_traiter!ED2)</f>
        <v/>
      </c>
    </row>
    <row r="3" spans="1:122" ht="14.45" x14ac:dyDescent="0.35">
      <c r="C3" s="18"/>
      <c r="F3" s="19"/>
      <c r="P3" s="19"/>
      <c r="S3" s="21"/>
      <c r="AF3" s="21"/>
      <c r="AK3" s="21"/>
      <c r="AT3" s="21"/>
      <c r="AY3" s="21"/>
      <c r="BG3" s="21"/>
      <c r="BQ3" s="21"/>
      <c r="BW3" s="21"/>
      <c r="CE3" s="21"/>
      <c r="CN3" s="21"/>
      <c r="CQ3" s="21"/>
      <c r="DF3" s="21"/>
      <c r="DI3" s="21"/>
      <c r="DK3" s="21"/>
      <c r="DR3" s="21"/>
    </row>
    <row r="4" spans="1:122" ht="14.45" x14ac:dyDescent="0.35">
      <c r="C4" s="18"/>
      <c r="F4" s="19"/>
      <c r="P4" s="19"/>
      <c r="S4" s="21"/>
      <c r="AF4" s="21"/>
      <c r="AK4" s="21"/>
      <c r="AT4" s="21"/>
      <c r="AY4" s="21"/>
      <c r="BG4" s="21"/>
      <c r="BQ4" s="21"/>
      <c r="BW4" s="21"/>
      <c r="CE4" s="21"/>
      <c r="CN4" s="21"/>
      <c r="CQ4" s="21"/>
      <c r="DF4" s="21"/>
      <c r="DI4" s="21"/>
      <c r="DK4" s="21"/>
      <c r="DR4" s="21"/>
    </row>
    <row r="5" spans="1:122" ht="14.45" x14ac:dyDescent="0.35">
      <c r="C5" s="18"/>
      <c r="F5" s="19"/>
      <c r="P5" s="19"/>
      <c r="S5" s="21"/>
      <c r="AF5" s="21"/>
      <c r="AK5" s="21"/>
      <c r="AT5" s="21"/>
      <c r="BG5" s="21"/>
      <c r="CN5" s="21"/>
    </row>
    <row r="6" spans="1:122" ht="14.45" x14ac:dyDescent="0.35">
      <c r="C6" s="18"/>
      <c r="F6" s="19"/>
      <c r="P6" s="19"/>
      <c r="S6" s="21"/>
      <c r="AF6" s="21"/>
      <c r="BG6" s="21"/>
      <c r="CN6" s="21"/>
    </row>
    <row r="7" spans="1:122" ht="14.45" x14ac:dyDescent="0.35">
      <c r="C7" s="18"/>
      <c r="P7" s="19"/>
      <c r="CN7" s="21"/>
    </row>
    <row r="8" spans="1:122" ht="14.45" x14ac:dyDescent="0.35">
      <c r="C8" s="18"/>
    </row>
    <row r="9" spans="1:122" ht="14.45" x14ac:dyDescent="0.35">
      <c r="C9" s="18"/>
    </row>
    <row r="10" spans="1:122" ht="14.45" x14ac:dyDescent="0.35">
      <c r="C10" s="18"/>
    </row>
    <row r="11" spans="1:122" ht="14.45" x14ac:dyDescent="0.35">
      <c r="C11" s="18"/>
    </row>
    <row r="12" spans="1:122" ht="14.45" x14ac:dyDescent="0.35">
      <c r="C12" s="18"/>
    </row>
    <row r="13" spans="1:122" ht="14.45" x14ac:dyDescent="0.35">
      <c r="C13" s="18"/>
    </row>
    <row r="14" spans="1:122" ht="14.45" x14ac:dyDescent="0.35">
      <c r="C14" s="18"/>
    </row>
    <row r="15" spans="1:122" ht="14.45" x14ac:dyDescent="0.35">
      <c r="C15" s="18"/>
    </row>
    <row r="16" spans="1:122" ht="14.45" x14ac:dyDescent="0.35">
      <c r="C16" s="18"/>
    </row>
    <row r="17" spans="3:3" ht="14.45" x14ac:dyDescent="0.35">
      <c r="C17" s="18"/>
    </row>
    <row r="18" spans="3:3" ht="14.45" x14ac:dyDescent="0.35">
      <c r="C18" s="18"/>
    </row>
    <row r="19" spans="3:3" ht="14.45" x14ac:dyDescent="0.35">
      <c r="C19" s="18"/>
    </row>
    <row r="20" spans="3:3" ht="14.45" x14ac:dyDescent="0.35">
      <c r="C20" s="18"/>
    </row>
    <row r="21" spans="3:3" ht="14.45" x14ac:dyDescent="0.35">
      <c r="C21" s="18"/>
    </row>
    <row r="22" spans="3:3" ht="14.45" x14ac:dyDescent="0.35">
      <c r="C22" s="18"/>
    </row>
    <row r="23" spans="3:3" ht="14.45" x14ac:dyDescent="0.35">
      <c r="C23" s="18"/>
    </row>
    <row r="24" spans="3:3" ht="14.45" x14ac:dyDescent="0.35">
      <c r="C24" s="18"/>
    </row>
    <row r="25" spans="3:3" ht="14.45" x14ac:dyDescent="0.35">
      <c r="C25" s="18"/>
    </row>
    <row r="26" spans="3:3" ht="14.45" x14ac:dyDescent="0.3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R6">
    <sortCondition ref="E2:E6"/>
    <sortCondition ref="A2:A6"/>
    <sortCondition ref="F2:F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>
      <selection sqref="A1:XFD1048576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R1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1.85546875" style="2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7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7" t="s">
        <v>572</v>
      </c>
      <c r="DG1" s="5" t="s">
        <v>617</v>
      </c>
      <c r="DH1" s="6" t="s">
        <v>616</v>
      </c>
      <c r="DI1" s="7" t="s">
        <v>618</v>
      </c>
      <c r="DJ1" s="5" t="s">
        <v>573</v>
      </c>
      <c r="DK1" s="7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s="12" customFormat="1" ht="14.45" x14ac:dyDescent="0.35">
      <c r="A2" s="23">
        <f>data_transmis!BN2</f>
        <v>0</v>
      </c>
      <c r="B2" s="24">
        <f>data_transmis!EP2</f>
        <v>0</v>
      </c>
      <c r="C2" s="25">
        <f>data_transmis!DW2</f>
        <v>0</v>
      </c>
      <c r="D2" s="24" t="str">
        <f>IF(LEFT(data_transmis!BN2,2)="GE","Oui","Non")</f>
        <v>Non</v>
      </c>
      <c r="E2" s="21">
        <f>data_transmis!D2</f>
        <v>0</v>
      </c>
      <c r="F2" s="19">
        <f>data_transmis!B2</f>
        <v>0</v>
      </c>
      <c r="G2" s="24">
        <f>data_transmis!H2</f>
        <v>0</v>
      </c>
      <c r="H2" s="24" t="str">
        <f>RIGHT(data_transmis!K2,2)&amp;"/"&amp;LEFT(RIGHT(data_transmis!K2,4),2)&amp;"/"&amp;LEFT(data_transmis!K2,4)</f>
        <v>//</v>
      </c>
      <c r="I2" s="24" t="str">
        <f>IFERROR(VLOOKUP("SITUATION_FAMILLE"&amp;data_transmis!L2,'Table correspondance'!C:D,2,0),"")</f>
        <v/>
      </c>
      <c r="J2" s="24" t="str">
        <f>IFERROR(VLOOKUP("CAT_SOCIALE"&amp;data_transmis!M2,'Table correspondance'!C:D,2,0),"")</f>
        <v/>
      </c>
      <c r="K2" s="24">
        <f>data_transmis!CK2</f>
        <v>0</v>
      </c>
      <c r="L2" s="24">
        <f>data_transmis!O2</f>
        <v>0</v>
      </c>
      <c r="M2" s="24">
        <f>data_transmis!P2</f>
        <v>0</v>
      </c>
      <c r="N2" s="24">
        <f>data_transmis!Q2</f>
        <v>0</v>
      </c>
      <c r="O2" s="21" t="str">
        <f>IF(data_transmis!R2="","",data_transmis!R2)</f>
        <v/>
      </c>
      <c r="P2" s="24" t="str">
        <f>RIGHT(data_transmis!G2,2)&amp;"/"&amp;LEFT(RIGHT(data_transmis!G2,4),2)&amp;"/"&amp;LEFT(data_transmis!G2,4)</f>
        <v>//</v>
      </c>
      <c r="Q2" s="24">
        <f>data_transmis!BC2</f>
        <v>0</v>
      </c>
      <c r="R2" s="24" t="str">
        <f>IF(data_transmis!E2="","",data_transmis!E2)</f>
        <v/>
      </c>
      <c r="S2" s="21" t="str">
        <f>IF(data_transmis!F2="","",data_transmis!F2)</f>
        <v/>
      </c>
      <c r="T2" s="24" t="str">
        <f>IF(data_transmis!S2="","",data_transmis!S2)</f>
        <v/>
      </c>
      <c r="U2" s="24" t="str">
        <f>IF(data_transmis!T2="","",data_transmis!T2)</f>
        <v/>
      </c>
      <c r="V2" s="24" t="str">
        <f>IF(data_transmis!U2="","",data_transmis!U2)</f>
        <v/>
      </c>
      <c r="W2" s="24" t="str">
        <f>IF(data_transmis!V2="","",VLOOKUP("COMP_NUM_VOIE"&amp;data_transmis!V2,'Table correspondance'!C:D,2,0))</f>
        <v/>
      </c>
      <c r="X2" s="24" t="str">
        <f>IF(data_transmis!W2="","",VLOOKUP("ADRESSE_NAT_VOIE"&amp;data_transmis!W2,'Table correspondance'!C:D,2,0))</f>
        <v/>
      </c>
      <c r="Y2" s="24" t="str">
        <f>IF(data_transmis!X2="","",data_transmis!X2)</f>
        <v/>
      </c>
      <c r="Z2" s="24" t="str">
        <f>IF(data_transmis!Y2="","",data_transmis!Y2)</f>
        <v/>
      </c>
      <c r="AA2" s="24" t="str">
        <f>IF(data_transmis!Z2="","",data_transmis!Z2)</f>
        <v/>
      </c>
      <c r="AB2" s="24" t="str">
        <f>IF(data_transmis!AA2="","",data_transmis!AA2)</f>
        <v/>
      </c>
      <c r="AC2" s="24" t="str">
        <f>IF(data_transmis!AB2="","",data_transmis!AB2)</f>
        <v/>
      </c>
      <c r="AD2" s="24" t="str">
        <f>IF(data_transmis!AC2="","",data_transmis!AC2)</f>
        <v/>
      </c>
      <c r="AE2" s="24" t="str">
        <f>IF(data_transmis!AD2="","",data_transmis!AD2)</f>
        <v/>
      </c>
      <c r="AF2" s="21" t="str">
        <f>IF(data_transmis!AE2="","",data_transmis!AE2)</f>
        <v/>
      </c>
      <c r="AG2" s="24" t="str">
        <f>IF(data_transmis!AG2="","",IF(LEN(data_transmis!AG2)=9,0&amp;data_transmis!AG2,data_transmis!AG2))</f>
        <v/>
      </c>
      <c r="AH2" s="24" t="str">
        <f>IF(data_transmis!AH2="","",IF(LEN(data_transmis!AH2)=9,0&amp;data_transmis!AH2,data_transmis!AH2))</f>
        <v/>
      </c>
      <c r="AI2" s="24" t="str">
        <f>IF(data_transmis!AI2="","",IF(LEN(data_transmis!AI2)=9,0&amp;data_transmis!AI2,data_transmis!AI2))</f>
        <v/>
      </c>
      <c r="AJ2" s="24" t="str">
        <f>IF(data_transmis!AJ2="","",data_transmis!AJ2)</f>
        <v/>
      </c>
      <c r="AK2" s="21" t="str">
        <f>IF(data_transmis!AK2="","",IF(LEN(data_transmis!AK2)=9,0&amp;data_transmis!AK2,data_transmis!AK2))</f>
        <v/>
      </c>
      <c r="AL2" s="24" t="str">
        <f>IF(data_transmis!AL2="","",data_transmis!AL2)</f>
        <v/>
      </c>
      <c r="AM2" s="24" t="str">
        <f>IF(data_transmis!AM2="","",data_transmis!AM2)</f>
        <v/>
      </c>
      <c r="AN2" s="24" t="str">
        <f>IF(data_transmis!AN2="","",data_transmis!AN2)</f>
        <v/>
      </c>
      <c r="AO2" s="24" t="str">
        <f>IF(data_transmis!AO2="","",data_transmis!AO2)</f>
        <v/>
      </c>
      <c r="AP2" s="24" t="str">
        <f>IF(data_transmis!AP2="","",data_transmis!AP2)</f>
        <v/>
      </c>
      <c r="AQ2" s="24" t="str">
        <f>IF(data_transmis!AQ2="","",data_transmis!AQ2)</f>
        <v/>
      </c>
      <c r="AR2" s="24" t="str">
        <f>IF(data_transmis!AR2="","",data_transmis!AR2)</f>
        <v/>
      </c>
      <c r="AS2" s="24" t="str">
        <f>IF(data_transmis!AS2="","",RIGHT(data_transmis!AS2,2)&amp;"/"&amp;LEFT(RIGHT(data_transmis!AS2,4),2)&amp;"/"&amp;LEFT(data_transmis!AS2,4))</f>
        <v/>
      </c>
      <c r="AT2" s="21" t="str">
        <f>IF(data_transmis!AT2="","",data_transmis!AT2)</f>
        <v/>
      </c>
      <c r="AU2" s="24" t="str">
        <f>IF(data_transmis!CC2="","",VLOOKUP("MODE_PAIE"&amp;data_transmis!CC2,'Table correspondance'!C:D,2,0))</f>
        <v/>
      </c>
      <c r="AV2" s="24" t="str">
        <f>IF(data_transmis!CD2="","",VLOOKUP("PERIODICITE"&amp;data_transmis!CD2,'Table correspondance'!C:D,2,0))</f>
        <v/>
      </c>
      <c r="AW2" s="24">
        <f>data_transmis!CE2</f>
        <v>0</v>
      </c>
      <c r="AX2" s="24" t="s">
        <v>547</v>
      </c>
      <c r="AY2" s="21" t="s">
        <v>649</v>
      </c>
      <c r="AZ2" s="24" t="str">
        <f>IF(data_transmis!AU2="","",data_transmis!AU2)</f>
        <v/>
      </c>
      <c r="BA2" s="24" t="str">
        <f>IF(data_transmis!AV2="","",data_transmis!AV2)</f>
        <v/>
      </c>
      <c r="BB2" s="24" t="str">
        <f>IF(data_transmis!AW2="","",data_transmis!AW2)</f>
        <v/>
      </c>
      <c r="BC2" s="26" t="str">
        <f>IF(data_transmis!AX2="","",data_transmis!AX2)</f>
        <v/>
      </c>
      <c r="BD2" s="24" t="str">
        <f>IF(data_transmis!AY2="","",data_transmis!AY2)</f>
        <v/>
      </c>
      <c r="BE2" s="24" t="str">
        <f>IF(data_transmis!AZ2="","",data_transmis!AZ2)</f>
        <v/>
      </c>
      <c r="BF2" s="24" t="str">
        <f>IF(data_transmis!BA2="O","Oui","Non")</f>
        <v>Non</v>
      </c>
      <c r="BG2" s="21" t="str">
        <f>IF(data_transmis!CI2="O","Oui","Non")</f>
        <v>Non</v>
      </c>
      <c r="BH2" s="24" t="str">
        <f>IF(data_transmis!BD2="","",data_transmis!BD2)</f>
        <v/>
      </c>
      <c r="BI2" s="24" t="str">
        <f>IF(data_transmis!BE2="","",data_transmis!BE2)</f>
        <v/>
      </c>
      <c r="BJ2" s="24" t="str">
        <f>IF(data_transmis!BF2="","",data_transmis!BF2)</f>
        <v/>
      </c>
      <c r="BK2" s="24" t="str">
        <f>IF(data_transmis!BG2="","",data_transmis!BG2)</f>
        <v/>
      </c>
      <c r="BL2" s="24" t="str">
        <f>IF(data_transmis!BH2="","",data_transmis!BH2)</f>
        <v/>
      </c>
      <c r="BM2" s="24" t="str">
        <f>IF(data_transmis!BI2="","",data_transmis!BI2)</f>
        <v/>
      </c>
      <c r="BN2" s="24" t="str">
        <f>IF(data_transmis!BJ2="","",data_transmis!BJ2)</f>
        <v/>
      </c>
      <c r="BO2" s="24" t="str">
        <f>IF(data_transmis!BK2="","",data_transmis!BK2)</f>
        <v/>
      </c>
      <c r="BP2" s="24" t="str">
        <f>IF(data_transmis!BL2="","",data_transmis!BL2)</f>
        <v/>
      </c>
      <c r="BQ2" s="21" t="str">
        <f>IF(data_transmis!BM2="","",data_transmis!BM2)</f>
        <v/>
      </c>
      <c r="BR2" s="24" t="str">
        <f>IF(data_transmis!BO2="N","Non","Oui")</f>
        <v>Oui</v>
      </c>
      <c r="BS2" s="24" t="str">
        <f>IF(data_transmis!BP2="","",data_transmis!BP2)</f>
        <v/>
      </c>
      <c r="BT2" s="24" t="str">
        <f>RIGHT(data_transmis!BQ2,2)&amp;"/"&amp;LEFT(RIGHT(data_transmis!BQ2,4),2)&amp;"/"&amp;LEFT(data_transmis!BQ2,4)</f>
        <v>//</v>
      </c>
      <c r="BU2" s="24" t="str">
        <f>IF(data_transmis!BR2="","",data_transmis!BR2)</f>
        <v/>
      </c>
      <c r="BV2" s="24" t="str">
        <f>IF(data_transmis!BS2="","",data_transmis!BS2)</f>
        <v/>
      </c>
      <c r="BW2" s="21" t="str">
        <f>IF(data_transmis!BT2="","",data_transmis!BT2)</f>
        <v/>
      </c>
      <c r="BX2" s="24" t="str">
        <f>IF(data_transmis!BU2="","",data_transmis!BU2)</f>
        <v/>
      </c>
      <c r="BY2" s="24" t="str">
        <f>IF(data_transmis!BV2="","",data_transmis!BV2)</f>
        <v/>
      </c>
      <c r="BZ2" s="24" t="str">
        <f>IF(data_transmis!BW2="","",data_transmis!BW2)</f>
        <v/>
      </c>
      <c r="CA2" s="24" t="str">
        <f>IF(data_transmis!BX2="","",data_transmis!BX2)</f>
        <v/>
      </c>
      <c r="CB2" s="24" t="str">
        <f>IF(data_transmis!BY2="","",data_transmis!BY2)</f>
        <v/>
      </c>
      <c r="CC2" s="24" t="str">
        <f>IF(data_transmis!BZ2="","",data_transmis!BZ2)</f>
        <v/>
      </c>
      <c r="CD2" s="24" t="str">
        <f>IF(data_transmis!CA2="","",data_transmis!CA2)</f>
        <v/>
      </c>
      <c r="CE2" s="21" t="str">
        <f>IF(data_transmis!CB2="","",data_transmis!CB2)</f>
        <v/>
      </c>
      <c r="CF2" s="24" t="str">
        <f>IF(data_transmis!CL2="","",data_transmis!CL2)</f>
        <v/>
      </c>
      <c r="CG2" s="24" t="str">
        <f>IF(data_transmis!CM2="","",RIGHT(data_transmis!CM2,2)&amp;"/"&amp;LEFT(RIGHT(data_transmis!CM2,4),2)&amp;"/"&amp;LEFT(data_transmis!CM2,4))</f>
        <v/>
      </c>
      <c r="CH2" s="24" t="str">
        <f>IF(data_transmis!CN2="","",RIGHT(data_transmis!CN2,2)&amp;"/"&amp;LEFT(RIGHT(data_transmis!CN2,4),2)&amp;"/"&amp;LEFT(data_transmis!CN2,4))</f>
        <v/>
      </c>
      <c r="CI2" s="24" t="str">
        <f>IF(data_transmis!CO2="","",data_transmis!CO2)</f>
        <v/>
      </c>
      <c r="CJ2" s="24" t="str">
        <f>IF(data_transmis!CP2="","",RIGHT(data_transmis!CP2,2)&amp;"/"&amp;LEFT(RIGHT(data_transmis!CP2,4),2)&amp;"/"&amp;LEFT(data_transmis!CP2,4))</f>
        <v/>
      </c>
      <c r="CK2" s="24" t="str">
        <f>IF(data_transmis!CQ2="","",RIGHT(data_transmis!CQ2,2)&amp;"/"&amp;LEFT(RIGHT(data_transmis!CQ2,4),2)&amp;"/"&amp;LEFT(data_transmis!CQ2,4))</f>
        <v/>
      </c>
      <c r="CL2" s="24" t="str">
        <f>IF(data_transmis!CR2="","",data_transmis!CR2)</f>
        <v/>
      </c>
      <c r="CM2" s="24" t="str">
        <f>IF(data_transmis!CS2="","",RIGHT(data_transmis!CS2,2)&amp;"/"&amp;LEFT(RIGHT(data_transmis!CS2,4),2)&amp;"/"&amp;LEFT(data_transmis!CS2,4))</f>
        <v/>
      </c>
      <c r="CN2" s="21" t="str">
        <f>IF(data_transmis!CT2="","",RIGHT(data_transmis!CT2,2)&amp;"/"&amp;LEFT(RIGHT(data_transmis!CT2,4),2)&amp;"/"&amp;LEFT(data_transmis!CT2,4))</f>
        <v/>
      </c>
      <c r="CO2" s="24" t="str">
        <f>IF(data_transmis!CU2="","",data_transmis!CU2)</f>
        <v/>
      </c>
      <c r="CP2" s="24" t="str">
        <f>IF(data_transmis!CV2="","",data_transmis!CV2)</f>
        <v/>
      </c>
      <c r="CQ2" s="21" t="str">
        <f>IF(data_transmis!CW2="","",RIGHT(data_transmis!CW2,2)&amp;"/"&amp;LEFT(RIGHT(data_transmis!CW2,4),2)&amp;"/"&amp;LEFT(data_transmis!CW2,4))</f>
        <v/>
      </c>
      <c r="CR2" s="24" t="str">
        <f>IF(data_transmis!CX2="","",data_transmis!CX2)</f>
        <v/>
      </c>
      <c r="CS2" s="24" t="str">
        <f>IF(data_transmis!CY2="","",data_transmis!CY2)</f>
        <v/>
      </c>
      <c r="CT2" s="24" t="str">
        <f>IF(data_transmis!CZ2="","",data_transmis!CZ2)</f>
        <v/>
      </c>
      <c r="CU2" s="24" t="str">
        <f>IF(data_transmis!DA2="","",data_transmis!DA2)</f>
        <v/>
      </c>
      <c r="CV2" s="24" t="str">
        <f>IF(data_transmis!DB2="","",data_transmis!DB2)</f>
        <v/>
      </c>
      <c r="CW2" s="24" t="str">
        <f>IF(data_transmis!DC2="","",data_transmis!DC2)</f>
        <v/>
      </c>
      <c r="CX2" s="24" t="str">
        <f>IF(data_transmis!DD2="","",data_transmis!DD2)</f>
        <v/>
      </c>
      <c r="CY2" s="24" t="str">
        <f>IF(data_transmis!DE2="","",data_transmis!DE2)</f>
        <v/>
      </c>
      <c r="CZ2" s="24" t="str">
        <f>IF(data_transmis!DF2="","",data_transmis!DF2)</f>
        <v/>
      </c>
      <c r="DA2" s="24" t="str">
        <f>IF(data_transmis!DG2="","",data_transmis!DG2)</f>
        <v/>
      </c>
      <c r="DB2" s="24" t="str">
        <f>IF(data_transmis!DH2="","",data_transmis!DH2)</f>
        <v/>
      </c>
      <c r="DC2" s="24" t="str">
        <f>IF(data_transmis!DI2="","",data_transmis!DI2)</f>
        <v/>
      </c>
      <c r="DD2" s="24" t="str">
        <f>IF(data_transmis!DJ2="","",data_transmis!DJ2)</f>
        <v/>
      </c>
      <c r="DE2" s="24" t="str">
        <f>IF(data_transmis!DK2="","",data_transmis!DK2)</f>
        <v/>
      </c>
      <c r="DF2" s="21" t="str">
        <f>IF(data_transmis!DL2="","",data_transmis!DL2)</f>
        <v/>
      </c>
      <c r="DG2" s="24" t="str">
        <f>IF(data_transmis!DM2="","",data_transmis!DM2)</f>
        <v/>
      </c>
      <c r="DH2" s="24" t="str">
        <f>IF(data_transmis!DN2="","",RIGHT(data_transmis!DN2,2)&amp;"/"&amp;LEFT(RIGHT(data_transmis!DN2,4),2)&amp;"/"&amp;LEFT(data_transmis!DN2,4))</f>
        <v/>
      </c>
      <c r="DI2" s="21" t="str">
        <f>IF(data_transmis!DO2="","",RIGHT(data_transmis!DO2,2)&amp;"/"&amp;LEFT(RIGHT(data_transmis!DO2,4),2)&amp;"/"&amp;LEFT(data_transmis!DO2,4))</f>
        <v/>
      </c>
      <c r="DJ2" s="24" t="str">
        <f>IF(data_transmis!DP2="","",data_transmis!DP2)</f>
        <v/>
      </c>
      <c r="DK2" s="21" t="str">
        <f>IF(data_transmis!DQ2="","",RIGHT(data_transmis!DQ2,2)&amp;"/"&amp;LEFT(RIGHT(data_transmis!DQ2,4),2)&amp;"/"&amp;LEFT(data_transmis!DQ2,4))</f>
        <v/>
      </c>
      <c r="DL2" s="24" t="str">
        <f>IF(data_transmis!DX2="","",data_transmis!DX2)</f>
        <v/>
      </c>
      <c r="DM2" s="24" t="str">
        <f>IF(data_transmis!DY2="","",data_transmis!DY2)</f>
        <v/>
      </c>
      <c r="DN2" s="24" t="str">
        <f>IF(data_transmis!DZ2="","",data_transmis!DZ2)</f>
        <v/>
      </c>
      <c r="DO2" s="24" t="str">
        <f>IF(data_transmis!EA2="","",data_transmis!EA2)</f>
        <v/>
      </c>
      <c r="DP2" s="24" t="str">
        <f>IF(data_transmis!EB2="","",data_transmis!EB2)</f>
        <v/>
      </c>
      <c r="DQ2" s="24" t="str">
        <f>IF(data_transmis!EC2="","",data_transmis!EC2)</f>
        <v/>
      </c>
      <c r="DR2" s="21" t="str">
        <f>IF(data_transmis!ED2="","",data_transmis!ED2)</f>
        <v/>
      </c>
    </row>
    <row r="3" spans="1:122" s="12" customFormat="1" ht="14.45" x14ac:dyDescent="0.35">
      <c r="A3" s="1"/>
      <c r="B3" s="2"/>
      <c r="C3" s="18"/>
      <c r="D3" s="2"/>
      <c r="E3" s="21"/>
      <c r="F3" s="19"/>
      <c r="G3" s="2"/>
      <c r="H3" s="2"/>
      <c r="I3" s="2"/>
      <c r="J3" s="24" t="str">
        <f>IFERROR(VLOOKUP("CAT_SOCIALE"&amp;data_transmis!M3,'Table correspondance'!C:D,2,0),"")</f>
        <v/>
      </c>
      <c r="K3" s="2"/>
      <c r="L3" s="2"/>
      <c r="M3" s="2"/>
      <c r="N3" s="2"/>
      <c r="O3" s="21"/>
      <c r="P3" s="2"/>
      <c r="Q3" s="2"/>
      <c r="R3" s="2"/>
      <c r="S3" s="21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1"/>
      <c r="AG3" s="2"/>
      <c r="AH3" s="2"/>
      <c r="AI3" s="2"/>
      <c r="AJ3" s="2"/>
      <c r="AK3" s="21"/>
      <c r="AL3" s="2"/>
      <c r="AM3" s="2"/>
      <c r="AN3" s="2"/>
      <c r="AO3" s="2"/>
      <c r="AP3" s="2"/>
      <c r="AQ3" s="2"/>
      <c r="AR3" s="2"/>
      <c r="AS3" s="2"/>
      <c r="AT3" s="21"/>
      <c r="AU3" s="2"/>
      <c r="AV3" s="2"/>
      <c r="AW3" s="2"/>
      <c r="AX3" s="2"/>
      <c r="AY3" s="21"/>
      <c r="AZ3" s="2"/>
      <c r="BA3" s="2"/>
      <c r="BB3" s="2"/>
      <c r="BC3" s="3"/>
      <c r="BD3" s="2"/>
      <c r="BE3" s="2"/>
      <c r="BF3" s="2"/>
      <c r="BG3" s="21"/>
      <c r="BH3" s="2"/>
      <c r="BI3" s="2"/>
      <c r="BJ3" s="2"/>
      <c r="BK3" s="2"/>
      <c r="BL3" s="2"/>
      <c r="BM3" s="2"/>
      <c r="BN3" s="2"/>
      <c r="BO3" s="2"/>
      <c r="BP3" s="2"/>
      <c r="BQ3" s="21"/>
      <c r="BR3" s="2"/>
      <c r="BS3" s="2"/>
      <c r="BT3" s="2"/>
      <c r="BU3" s="2"/>
      <c r="BV3" s="2"/>
      <c r="BW3" s="21"/>
      <c r="BX3" s="2"/>
      <c r="BY3" s="2"/>
      <c r="BZ3" s="2"/>
      <c r="CA3" s="2"/>
      <c r="CB3" s="2"/>
      <c r="CC3" s="2"/>
      <c r="CD3" s="2"/>
      <c r="CE3" s="21"/>
      <c r="CF3" s="2"/>
      <c r="CG3" s="2"/>
      <c r="CH3" s="2"/>
      <c r="CI3" s="2"/>
      <c r="CJ3" s="2"/>
      <c r="CK3" s="2"/>
      <c r="CL3" s="2"/>
      <c r="CM3" s="2"/>
      <c r="CN3" s="21"/>
      <c r="CO3" s="2"/>
      <c r="CP3" s="2"/>
      <c r="CQ3" s="21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1"/>
      <c r="DG3" s="2"/>
      <c r="DH3" s="2"/>
      <c r="DI3" s="21"/>
      <c r="DJ3" s="2"/>
      <c r="DK3" s="21"/>
      <c r="DL3" s="2"/>
      <c r="DM3" s="2"/>
      <c r="DN3" s="2"/>
      <c r="DO3" s="2"/>
      <c r="DP3" s="2"/>
      <c r="DQ3" s="2"/>
      <c r="DR3" s="21"/>
    </row>
    <row r="4" spans="1:122" s="12" customFormat="1" ht="14.45" x14ac:dyDescent="0.35">
      <c r="A4" s="1"/>
      <c r="B4" s="2"/>
      <c r="C4" s="18"/>
      <c r="D4" s="2"/>
      <c r="E4" s="21"/>
      <c r="F4" s="19"/>
      <c r="G4" s="2"/>
      <c r="H4" s="2"/>
      <c r="I4" s="2"/>
      <c r="J4" s="24" t="str">
        <f>IFERROR(VLOOKUP("CAT_SOCIALE"&amp;data_transmis!M4,'Table correspondance'!C:D,2,0),"")</f>
        <v/>
      </c>
      <c r="K4" s="2"/>
      <c r="L4" s="2"/>
      <c r="M4" s="2"/>
      <c r="N4" s="2"/>
      <c r="O4" s="21"/>
      <c r="P4" s="2"/>
      <c r="Q4" s="2"/>
      <c r="R4" s="2"/>
      <c r="S4" s="21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1"/>
      <c r="AG4" s="2"/>
      <c r="AH4" s="2"/>
      <c r="AI4" s="2"/>
      <c r="AJ4" s="2"/>
      <c r="AK4" s="21"/>
      <c r="AL4" s="2"/>
      <c r="AM4" s="2"/>
      <c r="AN4" s="2"/>
      <c r="AO4" s="2"/>
      <c r="AP4" s="2"/>
      <c r="AQ4" s="2"/>
      <c r="AR4" s="2"/>
      <c r="AS4" s="2"/>
      <c r="AT4" s="21"/>
      <c r="AU4" s="2"/>
      <c r="AV4" s="2"/>
      <c r="AW4" s="2"/>
      <c r="AX4" s="2"/>
      <c r="AY4" s="21"/>
      <c r="AZ4" s="2"/>
      <c r="BA4" s="2"/>
      <c r="BB4" s="2"/>
      <c r="BC4" s="3"/>
      <c r="BD4" s="2"/>
      <c r="BE4" s="2"/>
      <c r="BF4" s="2"/>
      <c r="BG4" s="21"/>
      <c r="BH4" s="2"/>
      <c r="BI4" s="2"/>
      <c r="BJ4" s="2"/>
      <c r="BK4" s="2"/>
      <c r="BL4" s="2"/>
      <c r="BM4" s="2"/>
      <c r="BN4" s="2"/>
      <c r="BO4" s="2"/>
      <c r="BP4" s="2"/>
      <c r="BQ4" s="21"/>
      <c r="BR4" s="2"/>
      <c r="BS4" s="2"/>
      <c r="BT4" s="2"/>
      <c r="BU4" s="2"/>
      <c r="BV4" s="2"/>
      <c r="BW4" s="21"/>
      <c r="BX4" s="2"/>
      <c r="BY4" s="2"/>
      <c r="BZ4" s="2"/>
      <c r="CA4" s="2"/>
      <c r="CB4" s="2"/>
      <c r="CC4" s="2"/>
      <c r="CD4" s="2"/>
      <c r="CE4" s="21"/>
      <c r="CF4" s="2"/>
      <c r="CG4" s="2"/>
      <c r="CH4" s="2"/>
      <c r="CI4" s="2"/>
      <c r="CJ4" s="2"/>
      <c r="CK4" s="2"/>
      <c r="CL4" s="2"/>
      <c r="CM4" s="2"/>
      <c r="CN4" s="21"/>
      <c r="CO4" s="2"/>
      <c r="CP4" s="2"/>
      <c r="CQ4" s="21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1"/>
      <c r="DG4" s="2"/>
      <c r="DH4" s="2"/>
      <c r="DI4" s="21"/>
      <c r="DJ4" s="2"/>
      <c r="DK4" s="21"/>
      <c r="DL4" s="2"/>
      <c r="DM4" s="2"/>
      <c r="DN4" s="2"/>
      <c r="DO4" s="2"/>
      <c r="DP4" s="2"/>
      <c r="DQ4" s="2"/>
      <c r="DR4" s="21"/>
    </row>
    <row r="5" spans="1:122" ht="14.45" x14ac:dyDescent="0.35">
      <c r="E5" s="21"/>
      <c r="F5" s="19"/>
      <c r="J5" s="24" t="str">
        <f>IFERROR(VLOOKUP("CAT_SOCIALE"&amp;data_transmis!M5,'Table correspondance'!C:D,2,0),"")</f>
        <v/>
      </c>
      <c r="O5" s="21"/>
      <c r="S5" s="21"/>
      <c r="AF5" s="21"/>
      <c r="AK5" s="21"/>
      <c r="AT5" s="21"/>
      <c r="AY5" s="21"/>
      <c r="BG5" s="21"/>
      <c r="BQ5" s="21"/>
      <c r="BW5" s="21"/>
      <c r="CE5" s="21"/>
      <c r="CN5" s="21"/>
      <c r="CQ5" s="21"/>
      <c r="DF5" s="21"/>
      <c r="DI5" s="21"/>
      <c r="DK5" s="21"/>
      <c r="DR5" s="21"/>
    </row>
    <row r="6" spans="1:122" thickBot="1" x14ac:dyDescent="0.4">
      <c r="E6" s="21"/>
      <c r="F6" s="19"/>
      <c r="O6" s="21"/>
      <c r="S6" s="21"/>
      <c r="AF6" s="21"/>
      <c r="AK6" s="21"/>
      <c r="AT6" s="21"/>
      <c r="AY6" s="21"/>
      <c r="BG6" s="21"/>
      <c r="BQ6" s="21"/>
      <c r="BW6" s="21"/>
      <c r="CE6" s="21"/>
      <c r="CN6" s="21"/>
      <c r="CQ6" s="21"/>
      <c r="DF6" s="21"/>
      <c r="DI6" s="21"/>
      <c r="DK6" s="21"/>
      <c r="DR6" s="21"/>
    </row>
    <row r="7" spans="1:122" thickBot="1" x14ac:dyDescent="0.4">
      <c r="E7" s="21"/>
      <c r="F7" s="19"/>
      <c r="O7" s="21"/>
      <c r="S7" s="21"/>
      <c r="AF7" s="21"/>
      <c r="AK7" s="21"/>
      <c r="AT7" s="7"/>
      <c r="AY7" s="7"/>
      <c r="BG7" s="21"/>
      <c r="BQ7" s="21"/>
      <c r="BW7" s="21"/>
      <c r="CE7" s="21"/>
      <c r="CN7" s="21"/>
      <c r="CQ7" s="21"/>
      <c r="DF7" s="21"/>
      <c r="DI7" s="21"/>
      <c r="DK7" s="21"/>
      <c r="DR7" s="21"/>
    </row>
    <row r="8" spans="1:122" ht="14.45" x14ac:dyDescent="0.35">
      <c r="E8" s="21"/>
      <c r="F8" s="19"/>
      <c r="O8" s="21"/>
      <c r="S8" s="21"/>
      <c r="AF8" s="21"/>
      <c r="AK8" s="21"/>
      <c r="AT8" s="21"/>
      <c r="AY8" s="21"/>
      <c r="BG8" s="21"/>
    </row>
    <row r="9" spans="1:122" ht="14.45" x14ac:dyDescent="0.35">
      <c r="E9" s="21"/>
      <c r="F9" s="19"/>
      <c r="O9" s="21"/>
      <c r="S9" s="21"/>
      <c r="AF9" s="21"/>
      <c r="AT9" s="21"/>
      <c r="AY9" s="21"/>
      <c r="BG9" s="21"/>
    </row>
    <row r="10" spans="1:122" ht="14.45" x14ac:dyDescent="0.35">
      <c r="AT10" s="21"/>
      <c r="BG10" s="21"/>
    </row>
    <row r="11" spans="1:122" ht="14.45" x14ac:dyDescent="0.35">
      <c r="BG11" s="21"/>
    </row>
    <row r="12" spans="1:122" ht="14.45" x14ac:dyDescent="0.35">
      <c r="BG12" s="21"/>
    </row>
  </sheetData>
  <sortState ref="A2:DR12">
    <sortCondition ref="E2:E12"/>
    <sortCondition ref="A2:A12"/>
    <sortCondition ref="F2:F1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56"/>
  <sheetViews>
    <sheetView tabSelected="1" workbookViewId="0">
      <selection activeCell="A2" sqref="A2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  <row r="4" spans="1:145" ht="14.45" x14ac:dyDescent="0.35">
      <c r="DW4" s="15"/>
    </row>
    <row r="5" spans="1:145" ht="14.45" x14ac:dyDescent="0.35">
      <c r="DW5" s="15"/>
    </row>
    <row r="6" spans="1:145" ht="14.45" x14ac:dyDescent="0.35">
      <c r="DW6" s="15"/>
    </row>
    <row r="7" spans="1:145" ht="14.45" x14ac:dyDescent="0.35">
      <c r="DW7" s="15"/>
    </row>
    <row r="10" spans="1:145" ht="14.45" x14ac:dyDescent="0.35">
      <c r="DW10" s="15"/>
    </row>
    <row r="12" spans="1:145" x14ac:dyDescent="0.25">
      <c r="DW12" s="15"/>
    </row>
    <row r="13" spans="1:145" x14ac:dyDescent="0.25">
      <c r="DW13" s="15"/>
    </row>
    <row r="14" spans="1:145" x14ac:dyDescent="0.25">
      <c r="DW14" s="15"/>
    </row>
    <row r="15" spans="1:145" x14ac:dyDescent="0.25">
      <c r="DW15" s="15"/>
    </row>
    <row r="16" spans="1:145" x14ac:dyDescent="0.25">
      <c r="DW16" s="15"/>
    </row>
    <row r="18" spans="127:127" x14ac:dyDescent="0.25">
      <c r="DW18" s="15"/>
    </row>
    <row r="19" spans="127:127" x14ac:dyDescent="0.25">
      <c r="DW19" s="15"/>
    </row>
    <row r="24" spans="127:127" x14ac:dyDescent="0.25">
      <c r="DW24" s="15"/>
    </row>
    <row r="26" spans="127:127" x14ac:dyDescent="0.25">
      <c r="DW26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2" spans="127:127" x14ac:dyDescent="0.25">
      <c r="DW32" s="15"/>
    </row>
    <row r="33" spans="41:127" x14ac:dyDescent="0.25">
      <c r="DW33" s="15"/>
    </row>
    <row r="34" spans="41:127" x14ac:dyDescent="0.25">
      <c r="AO34" s="16"/>
      <c r="BX34" s="16"/>
      <c r="DW34" s="15"/>
    </row>
    <row r="35" spans="41:127" x14ac:dyDescent="0.25">
      <c r="DW35" s="15"/>
    </row>
    <row r="36" spans="41:127" x14ac:dyDescent="0.25">
      <c r="DW36" s="15"/>
    </row>
    <row r="38" spans="41:127" x14ac:dyDescent="0.25">
      <c r="DW38" s="15"/>
    </row>
    <row r="39" spans="41:127" x14ac:dyDescent="0.25">
      <c r="DW39" s="15"/>
    </row>
    <row r="40" spans="41:127" x14ac:dyDescent="0.25">
      <c r="DW40" s="15"/>
    </row>
    <row r="41" spans="41:127" x14ac:dyDescent="0.25">
      <c r="DW41" s="15"/>
    </row>
    <row r="42" spans="41:127" x14ac:dyDescent="0.25">
      <c r="DW42" s="15"/>
    </row>
    <row r="43" spans="41:127" x14ac:dyDescent="0.25">
      <c r="DW43" s="15"/>
    </row>
    <row r="47" spans="41:127" x14ac:dyDescent="0.25">
      <c r="DW47" s="15"/>
    </row>
    <row r="48" spans="41:127" x14ac:dyDescent="0.25">
      <c r="DW48" s="15"/>
    </row>
    <row r="49" spans="127:127" x14ac:dyDescent="0.25">
      <c r="DW49" s="15"/>
    </row>
    <row r="50" spans="127:127" x14ac:dyDescent="0.25">
      <c r="DW50" s="15"/>
    </row>
    <row r="51" spans="127:127" x14ac:dyDescent="0.25">
      <c r="DW51" s="15"/>
    </row>
    <row r="52" spans="127:127" x14ac:dyDescent="0.25">
      <c r="DW52" s="15"/>
    </row>
    <row r="53" spans="127:127" x14ac:dyDescent="0.25">
      <c r="DW53" s="15"/>
    </row>
    <row r="54" spans="127:127" x14ac:dyDescent="0.25">
      <c r="DW54" s="15"/>
    </row>
    <row r="55" spans="127:127" x14ac:dyDescent="0.25">
      <c r="DW55" s="15"/>
    </row>
    <row r="56" spans="127:127" x14ac:dyDescent="0.25">
      <c r="DW56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280"/>
  <sheetViews>
    <sheetView workbookViewId="0">
      <selection activeCell="D1" sqref="D1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</cols>
  <sheetData>
    <row r="1" spans="1:4" ht="14.45" x14ac:dyDescent="0.35">
      <c r="A1" s="13" t="s">
        <v>623</v>
      </c>
      <c r="B1" s="14" t="s">
        <v>621</v>
      </c>
      <c r="C1" s="14" t="s">
        <v>648</v>
      </c>
      <c r="D1" s="13" t="s">
        <v>622</v>
      </c>
    </row>
    <row r="2" spans="1:4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</row>
    <row r="3" spans="1:4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</row>
    <row r="4" spans="1:4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</row>
    <row r="5" spans="1:4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</row>
    <row r="6" spans="1:4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</row>
    <row r="7" spans="1:4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</row>
    <row r="8" spans="1:4" ht="14.45" x14ac:dyDescent="0.35">
      <c r="A8" t="s">
        <v>6</v>
      </c>
      <c r="B8" s="2" t="s">
        <v>192</v>
      </c>
      <c r="C8" s="2" t="str">
        <f t="shared" si="0"/>
        <v>SITUATION_FAMILLEU</v>
      </c>
      <c r="D8" t="s">
        <v>176</v>
      </c>
    </row>
    <row r="9" spans="1:4" ht="14.45" x14ac:dyDescent="0.35">
      <c r="A9" t="s">
        <v>6</v>
      </c>
      <c r="B9" s="2" t="s">
        <v>193</v>
      </c>
      <c r="C9" s="2" t="str">
        <f t="shared" si="0"/>
        <v>SITUATION_FAMILLEV</v>
      </c>
      <c r="D9" t="s">
        <v>177</v>
      </c>
    </row>
    <row r="10" spans="1:4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</row>
    <row r="11" spans="1:4" ht="14.45" x14ac:dyDescent="0.3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</row>
    <row r="12" spans="1:4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</row>
    <row r="13" spans="1:4" ht="14.45" x14ac:dyDescent="0.35">
      <c r="A13" t="s">
        <v>7</v>
      </c>
      <c r="B13" s="2" t="s">
        <v>194</v>
      </c>
      <c r="C13" s="2" t="str">
        <f t="shared" si="0"/>
        <v>CAT_SOCIALEASM</v>
      </c>
      <c r="D13" t="s">
        <v>181</v>
      </c>
    </row>
    <row r="14" spans="1:4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</row>
    <row r="15" spans="1:4" ht="14.45" x14ac:dyDescent="0.35">
      <c r="A15" t="s">
        <v>7</v>
      </c>
      <c r="B15" s="2" t="s">
        <v>195</v>
      </c>
      <c r="C15" s="2" t="str">
        <f t="shared" si="0"/>
        <v>CAT_SOCIALEPIM</v>
      </c>
      <c r="D15" t="s">
        <v>183</v>
      </c>
    </row>
    <row r="16" spans="1:4" ht="14.45" x14ac:dyDescent="0.35">
      <c r="A16" t="s">
        <v>7</v>
      </c>
      <c r="B16" s="2" t="s">
        <v>196</v>
      </c>
      <c r="C16" s="2" t="str">
        <f t="shared" si="0"/>
        <v>CAT_SOCIALERL</v>
      </c>
      <c r="D16" t="s">
        <v>184</v>
      </c>
    </row>
    <row r="17" spans="1:4" ht="14.45" x14ac:dyDescent="0.35">
      <c r="A17" t="s">
        <v>7</v>
      </c>
      <c r="B17" s="2" t="s">
        <v>197</v>
      </c>
      <c r="C17" s="2" t="str">
        <f t="shared" si="0"/>
        <v>CAT_SOCIALERLM</v>
      </c>
      <c r="D17" t="s">
        <v>185</v>
      </c>
    </row>
    <row r="18" spans="1:4" ht="14.45" x14ac:dyDescent="0.3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</row>
    <row r="19" spans="1:4" ht="14.45" x14ac:dyDescent="0.3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</row>
    <row r="20" spans="1:4" ht="14.45" x14ac:dyDescent="0.3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</row>
    <row r="21" spans="1:4" ht="14.45" x14ac:dyDescent="0.3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</row>
    <row r="22" spans="1:4" ht="14.45" x14ac:dyDescent="0.3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</row>
    <row r="23" spans="1:4" ht="14.45" x14ac:dyDescent="0.3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</row>
    <row r="24" spans="1:4" ht="14.45" x14ac:dyDescent="0.3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</row>
    <row r="25" spans="1:4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</row>
    <row r="26" spans="1:4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</row>
    <row r="27" spans="1:4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</row>
    <row r="28" spans="1:4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</row>
    <row r="29" spans="1:4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</row>
    <row r="30" spans="1:4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</row>
    <row r="31" spans="1:4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</row>
    <row r="32" spans="1:4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</row>
    <row r="33" spans="1:4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</row>
    <row r="34" spans="1:4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</row>
    <row r="35" spans="1:4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</row>
    <row r="36" spans="1:4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</row>
    <row r="37" spans="1:4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</row>
    <row r="38" spans="1:4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</row>
    <row r="39" spans="1:4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4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4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4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4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4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4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4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4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4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2018-01-17T15:27:50Z</dcterms:modified>
</cp:coreProperties>
</file>