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data!$A$1:$EO$99909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G2" i="3" l="1"/>
  <c r="F2" i="3"/>
  <c r="H2" i="6" l="1"/>
  <c r="C2" i="6"/>
  <c r="B2" i="6"/>
  <c r="H2" i="3"/>
  <c r="C2" i="3"/>
  <c r="B2" i="3"/>
  <c r="AU2" i="6" l="1"/>
  <c r="AU2" i="3"/>
  <c r="AX2" i="6" l="1"/>
  <c r="AW2" i="6"/>
  <c r="Z2" i="6"/>
  <c r="AX2" i="3"/>
  <c r="AW2" i="3"/>
  <c r="Z2" i="3"/>
  <c r="Y2" i="3"/>
  <c r="L2" i="3"/>
  <c r="K2" i="3"/>
  <c r="Y2" i="6" l="1"/>
  <c r="L3" i="6"/>
  <c r="L4" i="6"/>
  <c r="L5" i="6"/>
  <c r="L2" i="6"/>
  <c r="K2" i="6"/>
  <c r="DT2" i="6" l="1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AY2" i="6"/>
  <c r="AV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X2" i="6"/>
  <c r="W2" i="6"/>
  <c r="V2" i="6"/>
  <c r="U2" i="6"/>
  <c r="T2" i="6"/>
  <c r="S2" i="6"/>
  <c r="R2" i="6"/>
  <c r="Q2" i="6"/>
  <c r="P2" i="6"/>
  <c r="O2" i="6"/>
  <c r="N2" i="6"/>
  <c r="M2" i="6"/>
  <c r="J2" i="6"/>
  <c r="I2" i="6"/>
  <c r="E2" i="6"/>
  <c r="D2" i="6"/>
  <c r="A2" i="6"/>
  <c r="DO2" i="3"/>
  <c r="DP2" i="3"/>
  <c r="DQ2" i="3"/>
  <c r="DR2" i="3"/>
  <c r="DS2" i="3"/>
  <c r="DT2" i="3"/>
  <c r="DN2" i="3"/>
  <c r="DM2" i="3"/>
  <c r="DL2" i="3"/>
  <c r="DK2" i="3"/>
  <c r="DJ2" i="3"/>
  <c r="DI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CT2" i="3"/>
  <c r="CS2" i="3"/>
  <c r="CR2" i="3"/>
  <c r="CQ2" i="3"/>
  <c r="CP2" i="3"/>
  <c r="CO2" i="3"/>
  <c r="CM2" i="3"/>
  <c r="CL2" i="3"/>
  <c r="CJ2" i="3"/>
  <c r="CI2" i="3"/>
  <c r="CN2" i="3"/>
  <c r="CK2" i="3"/>
  <c r="CH2" i="3"/>
  <c r="AM2" i="3"/>
  <c r="AI2" i="3"/>
  <c r="AJ2" i="3"/>
  <c r="AK2" i="3"/>
  <c r="G2" i="6" l="1"/>
  <c r="F2" i="6"/>
  <c r="CA2" i="3"/>
  <c r="CB2" i="3"/>
  <c r="CC2" i="3"/>
  <c r="CD2" i="3"/>
  <c r="CE2" i="3"/>
  <c r="CF2" i="3"/>
  <c r="CG2" i="3"/>
  <c r="BZ2" i="3"/>
  <c r="BX2" i="3"/>
  <c r="BY2" i="3"/>
  <c r="BW2" i="3"/>
  <c r="BV2" i="3"/>
  <c r="BU2" i="3"/>
  <c r="BT2" i="3"/>
  <c r="BK2" i="3"/>
  <c r="BL2" i="3"/>
  <c r="BM2" i="3"/>
  <c r="BN2" i="3"/>
  <c r="BO2" i="3"/>
  <c r="BP2" i="3"/>
  <c r="BQ2" i="3"/>
  <c r="BR2" i="3"/>
  <c r="BS2" i="3"/>
  <c r="BJ2" i="3"/>
  <c r="BI2" i="3"/>
  <c r="BH2" i="3"/>
  <c r="BC2" i="3"/>
  <c r="BD2" i="3"/>
  <c r="BE2" i="3"/>
  <c r="BF2" i="3"/>
  <c r="BG2" i="3"/>
  <c r="BB2" i="3"/>
  <c r="AY2" i="3"/>
  <c r="AV2" i="3"/>
  <c r="AO2" i="3"/>
  <c r="AP2" i="3"/>
  <c r="AQ2" i="3"/>
  <c r="AR2" i="3"/>
  <c r="AS2" i="3"/>
  <c r="AT2" i="3"/>
  <c r="AN2" i="3"/>
  <c r="AL2" i="3"/>
  <c r="W2" i="3"/>
  <c r="X2" i="3"/>
  <c r="AA2" i="3"/>
  <c r="AB2" i="3"/>
  <c r="AC2" i="3"/>
  <c r="AD2" i="3"/>
  <c r="AE2" i="3"/>
  <c r="AF2" i="3"/>
  <c r="AG2" i="3"/>
  <c r="AH2" i="3"/>
  <c r="V2" i="3"/>
  <c r="U2" i="3"/>
  <c r="T2" i="3"/>
  <c r="S2" i="3"/>
  <c r="R2" i="3"/>
  <c r="Q2" i="3"/>
  <c r="P2" i="3"/>
  <c r="O2" i="3"/>
  <c r="N2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J2" i="3"/>
  <c r="I2" i="3"/>
  <c r="D2" i="3"/>
  <c r="E2" i="3"/>
  <c r="A2" i="3"/>
</calcChain>
</file>

<file path=xl/sharedStrings.xml><?xml version="1.0" encoding="utf-8"?>
<sst xmlns="http://schemas.openxmlformats.org/spreadsheetml/2006/main" count="1350" uniqueCount="750">
  <si>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</si>
  <si>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</si>
  <si>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</si>
  <si>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</si>
  <si>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</si>
  <si>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</si>
  <si>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</si>
  <si>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</si>
  <si>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</si>
  <si>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</si>
  <si>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</si>
  <si>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</si>
  <si>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</si>
  <si>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</si>
  <si>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</si>
  <si>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</si>
  <si>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</si>
  <si>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</si>
  <si>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</si>
  <si>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</si>
  <si>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</si>
  <si>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</si>
  <si>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</si>
  <si>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</si>
  <si>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</si>
  <si>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</si>
  <si>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</si>
  <si>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</si>
  <si>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</si>
  <si>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</si>
  <si>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</si>
  <si>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</si>
  <si>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</si>
  <si>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</si>
  <si>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</si>
  <si>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</si>
  <si>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</si>
  <si>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</si>
  <si>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</si>
  <si>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</si>
  <si>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</si>
  <si>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</si>
  <si>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</si>
  <si>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</si>
  <si>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</si>
  <si>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</si>
  <si>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</si>
  <si>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</si>
  <si>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</si>
  <si>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</si>
  <si>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</si>
  <si>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</si>
  <si>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</si>
  <si>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</si>
  <si>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</si>
  <si>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</si>
  <si>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</si>
  <si>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</si>
  <si>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</si>
  <si>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</si>
  <si>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</si>
  <si>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</si>
  <si>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</si>
  <si>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</si>
  <si>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</si>
  <si>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</si>
  <si>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</si>
  <si>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</si>
  <si>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</si>
  <si>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</si>
  <si>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</si>
  <si>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</si>
  <si>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</si>
  <si>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</si>
  <si>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</si>
  <si>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</si>
  <si>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</si>
  <si>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</si>
  <si>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</si>
  <si>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</si>
  <si>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</si>
  <si>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</si>
  <si>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</si>
  <si>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</si>
  <si>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</si>
  <si>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</si>
  <si>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</si>
  <si>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</si>
  <si>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</si>
  <si>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</si>
  <si>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</si>
  <si>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</si>
  <si>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</si>
  <si>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</si>
  <si>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</si>
  <si>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</si>
  <si>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</si>
  <si>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</si>
  <si>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</si>
  <si>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</si>
  <si>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</si>
  <si>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</si>
  <si>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</si>
  <si>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</si>
  <si>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</si>
  <si>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</si>
  <si>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</si>
  <si>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</si>
  <si>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</si>
  <si>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</si>
  <si>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</si>
  <si>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</si>
  <si>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</si>
  <si>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</si>
  <si>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</si>
  <si>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</si>
  <si>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</si>
  <si>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</si>
  <si>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</si>
  <si>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</si>
  <si>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</si>
  <si>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</si>
  <si>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</si>
  <si>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</si>
  <si>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</si>
  <si>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</si>
  <si>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</si>
  <si>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</si>
  <si>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</si>
  <si>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</si>
  <si>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</si>
  <si>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</si>
  <si>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</si>
  <si>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</si>
  <si>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</si>
  <si>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</si>
  <si>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</si>
  <si>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</si>
  <si>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</si>
  <si>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</si>
  <si>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</si>
  <si>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</si>
  <si>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</si>
  <si>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</si>
  <si>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</si>
  <si>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</si>
  <si>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</si>
  <si>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</si>
  <si>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</si>
  <si>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</si>
  <si>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</si>
  <si>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</si>
  <si>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</si>
  <si>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</si>
  <si>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</si>
  <si>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</si>
  <si>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</si>
  <si>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</si>
  <si>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</si>
  <si>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</si>
  <si>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</si>
  <si>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</si>
  <si>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</si>
  <si>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</si>
  <si>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</si>
  <si>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</si>
  <si>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</si>
  <si>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</si>
  <si>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</si>
  <si>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</si>
  <si>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</si>
  <si>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</si>
  <si>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</si>
  <si>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</si>
  <si>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</si>
  <si>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</si>
  <si>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</si>
  <si>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</si>
  <si>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</si>
  <si>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</si>
  <si>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</si>
  <si>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</si>
  <si>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</si>
  <si>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</si>
  <si>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</si>
  <si>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</si>
  <si>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</si>
  <si>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</si>
  <si>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</si>
  <si>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</si>
  <si>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</si>
  <si>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</si>
  <si>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</si>
  <si>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</si>
  <si>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</si>
  <si>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</si>
  <si>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</si>
  <si>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</si>
  <si>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</si>
  <si>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</si>
  <si>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</si>
  <si>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</si>
  <si>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</si>
  <si>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</si>
  <si>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</si>
  <si>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</si>
  <si>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</si>
  <si>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</si>
  <si>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</si>
  <si>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</si>
  <si>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</si>
  <si>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</si>
  <si>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</si>
  <si>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</si>
  <si>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</si>
  <si>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</si>
  <si>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</si>
  <si>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</si>
  <si>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</si>
  <si>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</si>
  <si>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</si>
  <si>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</si>
  <si>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</si>
  <si>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</si>
  <si>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</si>
  <si>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</si>
  <si>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</si>
  <si>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</si>
  <si>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</si>
  <si>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</si>
  <si>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</si>
  <si>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</si>
  <si>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</si>
  <si>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</si>
  <si>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</si>
  <si>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</si>
  <si>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</si>
  <si>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</si>
  <si>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</si>
  <si>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</si>
  <si>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</si>
  <si>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</si>
  <si>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</si>
  <si>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</si>
  <si>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</si>
  <si>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</si>
  <si>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</si>
  <si>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</si>
  <si>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</si>
  <si>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</si>
  <si>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</si>
  <si>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</si>
  <si>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</si>
  <si>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</si>
  <si>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</si>
  <si>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</si>
  <si>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</si>
  <si>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</si>
  <si>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</si>
  <si>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</si>
  <si>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</si>
  <si>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</si>
  <si>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</si>
  <si>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</si>
  <si>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</si>
  <si>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</si>
  <si>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</si>
  <si>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</si>
  <si>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</si>
  <si>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</si>
  <si>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</si>
  <si>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</si>
  <si>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</si>
  <si>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</si>
  <si>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</si>
  <si>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</si>
  <si>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</si>
  <si>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</si>
  <si>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</si>
  <si>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</si>
  <si>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</si>
  <si>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</si>
  <si>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</si>
  <si>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</si>
  <si>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</si>
  <si>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</si>
  <si>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</si>
  <si>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</si>
  <si>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</si>
  <si>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</si>
  <si>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</si>
  <si>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</si>
  <si>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</si>
  <si>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</si>
  <si>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</si>
  <si>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</si>
  <si>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</si>
  <si>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</si>
  <si>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</si>
  <si>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</si>
  <si>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</si>
  <si>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</si>
  <si>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</si>
  <si>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</si>
  <si>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</si>
  <si>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</si>
  <si>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</si>
  <si>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</si>
  <si>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</si>
  <si>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</si>
  <si>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</si>
  <si>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</si>
  <si>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</si>
  <si>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</si>
  <si>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</si>
  <si>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</si>
  <si>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</si>
  <si>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</si>
  <si>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</si>
  <si>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</si>
  <si>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</si>
  <si>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</si>
  <si>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</si>
  <si>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</si>
  <si>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</si>
  <si>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</si>
  <si>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</si>
  <si>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</si>
  <si>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</si>
  <si>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</si>
  <si>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</si>
  <si>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</si>
  <si>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</si>
  <si>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</si>
  <si>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</si>
  <si>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</si>
  <si>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</si>
  <si>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</si>
  <si>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</si>
  <si>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</si>
  <si>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</si>
  <si>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</si>
  <si>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</si>
  <si>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</si>
  <si>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</si>
  <si>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</si>
  <si>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</si>
  <si>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</si>
  <si>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</si>
  <si>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</si>
  <si>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</si>
  <si>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</si>
  <si>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</si>
  <si>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</si>
  <si>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</si>
  <si>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</si>
  <si>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</si>
  <si>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</si>
  <si>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</si>
  <si>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</si>
  <si>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</si>
  <si>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</si>
  <si>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</si>
  <si>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</si>
  <si>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</si>
  <si>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</si>
  <si>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</si>
  <si>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</si>
  <si>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</si>
  <si>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</si>
  <si>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</si>
  <si>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</si>
  <si>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</si>
  <si>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</si>
  <si>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</si>
  <si>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</si>
  <si>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</si>
  <si>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</si>
  <si>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</si>
  <si>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</si>
  <si>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</si>
  <si>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</si>
  <si>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</si>
  <si>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</si>
  <si>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</si>
  <si>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</si>
  <si>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</si>
  <si>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</si>
  <si>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</si>
  <si>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</si>
  <si>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</si>
  <si>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</si>
  <si>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</si>
  <si>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</si>
  <si>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</si>
  <si>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</si>
  <si>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</si>
  <si>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</si>
  <si>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</si>
  <si>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</si>
  <si>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</si>
  <si>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</si>
  <si>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</si>
  <si>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</si>
  <si>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</si>
  <si>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</si>
  <si>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</si>
  <si>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</si>
  <si>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</si>
  <si>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</si>
  <si>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</si>
  <si>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</si>
  <si>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</si>
  <si>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</si>
  <si>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</si>
  <si>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</si>
  <si>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</si>
  <si>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</si>
  <si>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</si>
  <si>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</si>
  <si>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</si>
  <si>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</si>
  <si>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</si>
  <si>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</si>
  <si>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</si>
  <si>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</si>
  <si>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</si>
  <si>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</si>
  <si>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</si>
  <si>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</si>
  <si>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</si>
  <si>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</si>
  <si>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</si>
  <si>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</si>
  <si>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</si>
  <si>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</si>
  <si>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</si>
  <si>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</si>
  <si>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</si>
  <si>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</si>
  <si>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</si>
  <si>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</si>
  <si>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</si>
  <si>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</si>
  <si>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</si>
  <si>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</si>
  <si>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</si>
  <si>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</si>
  <si>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</si>
  <si>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</si>
  <si>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</si>
  <si>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</si>
  <si>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</si>
  <si>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</si>
  <si>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</si>
  <si>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</si>
  <si>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</si>
  <si>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</si>
  <si>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</si>
  <si>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</si>
  <si>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</si>
  <si>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</si>
  <si>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</si>
  <si>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</si>
  <si>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</si>
  <si>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</si>
  <si>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</si>
  <si>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</si>
  <si>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</si>
  <si>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</si>
  <si>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</si>
  <si>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</si>
  <si>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</si>
  <si>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</si>
  <si>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</si>
  <si>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</si>
  <si>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</si>
  <si>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</si>
  <si>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</si>
  <si>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</si>
  <si>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</si>
  <si>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</si>
  <si>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</si>
  <si>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</si>
  <si>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</si>
  <si>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</si>
  <si>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</si>
  <si>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</si>
  <si>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</si>
  <si>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</si>
  <si>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</si>
  <si>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</si>
  <si>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</si>
  <si>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</si>
  <si>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</si>
  <si>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</si>
  <si>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</si>
  <si>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</si>
  <si>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</si>
  <si>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</si>
  <si>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</si>
  <si>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</si>
  <si>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</si>
  <si>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</si>
  <si>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</si>
  <si>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</si>
  <si>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</si>
  <si>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</si>
  <si>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</si>
  <si>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</si>
  <si>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</si>
  <si>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</si>
  <si>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</si>
  <si>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</si>
  <si>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</si>
  <si>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</si>
  <si>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</si>
  <si>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</si>
  <si>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</si>
  <si>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</si>
  <si>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</si>
  <si>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</si>
  <si>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</si>
  <si>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</si>
  <si>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</si>
  <si>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</si>
  <si>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</si>
  <si>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</si>
  <si>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</si>
  <si>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</si>
  <si>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</si>
  <si>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</si>
  <si>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</si>
  <si>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</si>
  <si>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</si>
  <si>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</si>
  <si>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</si>
  <si>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</si>
  <si>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</si>
  <si>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</si>
  <si>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</si>
  <si>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</si>
  <si>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</si>
  <si>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</si>
  <si>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</si>
  <si>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</si>
  <si>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</si>
  <si>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</si>
  <si>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</si>
  <si>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</si>
  <si>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</si>
  <si>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</si>
  <si>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</si>
  <si>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</si>
  <si>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</si>
  <si>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</si>
  <si>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</si>
  <si>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</si>
  <si>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</si>
  <si>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</si>
  <si>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</si>
  <si>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</si>
  <si>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</si>
  <si>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</si>
  <si>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</si>
  <si>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</si>
  <si>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</si>
  <si>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</si>
  <si>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</si>
  <si>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</si>
  <si>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</si>
  <si>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</si>
  <si>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</si>
  <si>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</si>
  <si>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</si>
  <si>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</si>
  <si>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</si>
  <si>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</si>
  <si>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</si>
  <si>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</si>
  <si>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</si>
  <si>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</si>
  <si>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</si>
  <si>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</si>
  <si>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</si>
  <si>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</si>
  <si>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</si>
  <si>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</si>
  <si>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</si>
  <si>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</si>
  <si>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</si>
  <si>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</si>
  <si>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</si>
  <si>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</si>
  <si>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</si>
  <si>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</si>
  <si>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</si>
  <si>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</si>
  <si>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</si>
  <si>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</si>
  <si>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</si>
  <si>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</si>
  <si>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</si>
  <si>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</si>
  <si>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</si>
  <si>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</si>
  <si>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</si>
  <si>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</si>
  <si>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</si>
  <si>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</si>
  <si>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</si>
  <si>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</si>
  <si>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</si>
  <si>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</si>
  <si>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</si>
  <si>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</si>
  <si>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</si>
  <si>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</si>
  <si>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</si>
  <si>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</si>
  <si>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</si>
  <si>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</si>
  <si>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</si>
  <si>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</si>
  <si>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</si>
  <si>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</si>
  <si>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</si>
  <si>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</si>
  <si>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</si>
  <si>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</si>
  <si>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</si>
  <si>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</si>
  <si>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</si>
  <si>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</si>
  <si>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</si>
  <si>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</si>
  <si>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</si>
  <si>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</si>
  <si>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</si>
  <si>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</si>
  <si>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</si>
  <si>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</si>
  <si>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</si>
  <si>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</si>
  <si>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</si>
  <si>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</si>
  <si>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</si>
  <si>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</si>
  <si>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</si>
  <si>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</si>
  <si>
    <t>DGS 69 SE</t>
  </si>
  <si>
    <t>DGS 89 NE</t>
  </si>
  <si>
    <t>DGS 18 CI</t>
  </si>
  <si>
    <t>DGS 81 SO</t>
  </si>
  <si>
    <t>DGS 10/08 NE</t>
  </si>
  <si>
    <t>DGS 86 AT</t>
  </si>
  <si>
    <t>DGS 14 BN</t>
  </si>
  <si>
    <t>DGS 57 NE</t>
  </si>
  <si>
    <t>DGS 22 STBRIEUC BN</t>
  </si>
  <si>
    <t>DGS 72 AT</t>
  </si>
  <si>
    <t>CDG Siebel</t>
  </si>
  <si>
    <t>GG Infinite</t>
  </si>
  <si>
    <t>Infinite</t>
  </si>
  <si>
    <t>DGS 06 SE</t>
  </si>
  <si>
    <t>PPSTD06</t>
  </si>
  <si>
    <t>PCGANTIBE</t>
  </si>
  <si>
    <t>PPSTDA</t>
  </si>
  <si>
    <t>PCGTROYES</t>
  </si>
  <si>
    <t>DGS 11 NARBONNE SO</t>
  </si>
  <si>
    <t>PPSTD11</t>
  </si>
  <si>
    <t>PCGNARBON</t>
  </si>
  <si>
    <t>PPSTDN</t>
  </si>
  <si>
    <t>PCGCAEN</t>
  </si>
  <si>
    <t>PPSTD18</t>
  </si>
  <si>
    <t>PCGBOURGE</t>
  </si>
  <si>
    <t>PPSTD</t>
  </si>
  <si>
    <t>PCGSTBRIE</t>
  </si>
  <si>
    <t>DGS 27 BN</t>
  </si>
  <si>
    <t>PCGEVREUX</t>
  </si>
  <si>
    <t>DGS 29 BREST BN</t>
  </si>
  <si>
    <t>PCGBREST</t>
  </si>
  <si>
    <t>DGS 29 QUIMPER BN</t>
  </si>
  <si>
    <t>PCGQUIMPR</t>
  </si>
  <si>
    <t>DGS 35 BN</t>
  </si>
  <si>
    <t>PCGRENNES</t>
  </si>
  <si>
    <t>DGS 36 CI</t>
  </si>
  <si>
    <t>PPSTD36</t>
  </si>
  <si>
    <t>PCGCHATEA</t>
  </si>
  <si>
    <t>DGS 37 CI</t>
  </si>
  <si>
    <t>PPSTD37</t>
  </si>
  <si>
    <t>PCGTOURS</t>
  </si>
  <si>
    <t>DGS 44 AT</t>
  </si>
  <si>
    <t>PPSTD44</t>
  </si>
  <si>
    <t>PCGNANTES</t>
  </si>
  <si>
    <t>DGS 44 LA CONCELLOISE AT</t>
  </si>
  <si>
    <t>PCGCONCEL</t>
  </si>
  <si>
    <t>DGS 45 CI</t>
  </si>
  <si>
    <t>PPSTDV</t>
  </si>
  <si>
    <t>PCGORLEAN</t>
  </si>
  <si>
    <t>DGS 49 AT</t>
  </si>
  <si>
    <t>PPSTD49</t>
  </si>
  <si>
    <t>PCGANGERS</t>
  </si>
  <si>
    <t>DGS 51 NE</t>
  </si>
  <si>
    <t>PPSTDE</t>
  </si>
  <si>
    <t>PCGREIMS</t>
  </si>
  <si>
    <t>DGS 52 NE</t>
  </si>
  <si>
    <t>PCGCHAUMO</t>
  </si>
  <si>
    <t>DGS 53 AT</t>
  </si>
  <si>
    <t>PCGLAVAL</t>
  </si>
  <si>
    <t>DGS 54 NE</t>
  </si>
  <si>
    <t>PCGNANCY</t>
  </si>
  <si>
    <t>DGS 55 NE</t>
  </si>
  <si>
    <t>PCGBARLED</t>
  </si>
  <si>
    <t>DGS 56 BN</t>
  </si>
  <si>
    <t>PCGVANNES</t>
  </si>
  <si>
    <t>PCGMETZ</t>
  </si>
  <si>
    <t>DGS 61 BN</t>
  </si>
  <si>
    <t>PCGALENCO</t>
  </si>
  <si>
    <t>DGS 63 SE</t>
  </si>
  <si>
    <t>PPSTD63</t>
  </si>
  <si>
    <t>PCGCLERMO</t>
  </si>
  <si>
    <t>DGS 63 THIERS MUTUALITE SE</t>
  </si>
  <si>
    <t>PPSTD6T</t>
  </si>
  <si>
    <t>PCGTHIERS</t>
  </si>
  <si>
    <t>PPSTDX</t>
  </si>
  <si>
    <t>PCGSTETIE</t>
  </si>
  <si>
    <t>DGS 71 CI</t>
  </si>
  <si>
    <t>PCGCHALON</t>
  </si>
  <si>
    <t>PCGLEMANS</t>
  </si>
  <si>
    <t>DGS 76 LE HAVRE BN</t>
  </si>
  <si>
    <t>PCGLEHAVR</t>
  </si>
  <si>
    <t>DGS 78 CI</t>
  </si>
  <si>
    <t>PPSTD75</t>
  </si>
  <si>
    <t>PCGCHATOU</t>
  </si>
  <si>
    <t>PPSTDT</t>
  </si>
  <si>
    <t>PCGALBI</t>
  </si>
  <si>
    <t>DGS 85 AT</t>
  </si>
  <si>
    <t>PPSTD85</t>
  </si>
  <si>
    <t>PCGLAROCH</t>
  </si>
  <si>
    <t>PPSTD86</t>
  </si>
  <si>
    <t>PCGPOITIE</t>
  </si>
  <si>
    <t>DGS 87 SO</t>
  </si>
  <si>
    <t>PPSTD87</t>
  </si>
  <si>
    <t>PCGLIMOGE</t>
  </si>
  <si>
    <t>DGS 88 NE</t>
  </si>
  <si>
    <t>PCGGOLBEY</t>
  </si>
  <si>
    <t>PPSTDR</t>
  </si>
  <si>
    <t>PCGAUXERR</t>
  </si>
  <si>
    <t>Groupe de Gestion Infinite</t>
  </si>
  <si>
    <t>Centre de Gestion Infinite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</si>
</sst>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9" fontId="0" fillId="0" borderId="0" xfId="0" applyNumberFormat="1"/>
    <xf numFmtId="49" fontId="18" fillId="0" borderId="0" xfId="0" applyNumberFormat="1" applyFont="1"/>
    <xf numFmtId="0" fontId="18" fillId="0" borderId="0" xfId="0" applyFont="1"/>
    <xf numFmtId="0" fontId="16" fillId="0" borderId="19" xfId="0" applyFont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/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T999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5.140625" style="2" bestFit="1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6" t="s">
        <v>165</v>
      </c>
      <c r="F1" s="30" t="s">
        <v>748</v>
      </c>
      <c r="G1" s="7" t="s">
        <v>749</v>
      </c>
      <c r="H1" s="20" t="s">
        <v>620</v>
      </c>
      <c r="I1" s="5" t="s">
        <v>594</v>
      </c>
      <c r="J1" s="6" t="s">
        <v>159</v>
      </c>
      <c r="K1" s="6" t="s">
        <v>160</v>
      </c>
      <c r="L1" s="6" t="s">
        <v>161</v>
      </c>
      <c r="M1" s="6" t="s">
        <v>596</v>
      </c>
      <c r="N1" s="6" t="s">
        <v>162</v>
      </c>
      <c r="O1" s="6" t="s">
        <v>163</v>
      </c>
      <c r="P1" s="6" t="s">
        <v>595</v>
      </c>
      <c r="Q1" s="7" t="s">
        <v>164</v>
      </c>
      <c r="R1" s="5" t="s">
        <v>146</v>
      </c>
      <c r="S1" s="6" t="s">
        <v>147</v>
      </c>
      <c r="T1" s="6" t="s">
        <v>597</v>
      </c>
      <c r="U1" s="7" t="s">
        <v>148</v>
      </c>
      <c r="V1" s="5" t="s">
        <v>12</v>
      </c>
      <c r="W1" s="6" t="s">
        <v>13</v>
      </c>
      <c r="X1" s="6" t="s">
        <v>14</v>
      </c>
      <c r="Y1" s="6" t="s">
        <v>15</v>
      </c>
      <c r="Z1" s="6" t="s">
        <v>16</v>
      </c>
      <c r="AA1" s="6" t="s">
        <v>17</v>
      </c>
      <c r="AB1" s="6" t="s">
        <v>18</v>
      </c>
      <c r="AC1" s="6" t="s">
        <v>19</v>
      </c>
      <c r="AD1" s="6" t="s">
        <v>20</v>
      </c>
      <c r="AE1" s="6" t="s">
        <v>21</v>
      </c>
      <c r="AF1" s="6" t="s">
        <v>22</v>
      </c>
      <c r="AG1" s="6" t="s">
        <v>23</v>
      </c>
      <c r="AH1" s="7" t="s">
        <v>24</v>
      </c>
      <c r="AI1" s="5" t="s">
        <v>589</v>
      </c>
      <c r="AJ1" s="6" t="s">
        <v>588</v>
      </c>
      <c r="AK1" s="6" t="s">
        <v>166</v>
      </c>
      <c r="AL1" s="6" t="s">
        <v>587</v>
      </c>
      <c r="AM1" s="6" t="s">
        <v>167</v>
      </c>
      <c r="AN1" s="5" t="s">
        <v>598</v>
      </c>
      <c r="AO1" s="6" t="s">
        <v>599</v>
      </c>
      <c r="AP1" s="6" t="s">
        <v>600</v>
      </c>
      <c r="AQ1" s="6" t="s">
        <v>601</v>
      </c>
      <c r="AR1" s="6" t="s">
        <v>602</v>
      </c>
      <c r="AS1" s="6" t="s">
        <v>603</v>
      </c>
      <c r="AT1" s="6" t="s">
        <v>604</v>
      </c>
      <c r="AU1" s="6" t="s">
        <v>168</v>
      </c>
      <c r="AV1" s="7" t="s">
        <v>605</v>
      </c>
      <c r="AW1" s="5" t="s">
        <v>134</v>
      </c>
      <c r="AX1" s="6" t="s">
        <v>135</v>
      </c>
      <c r="AY1" s="6" t="s">
        <v>136</v>
      </c>
      <c r="AZ1" s="6" t="s">
        <v>137</v>
      </c>
      <c r="BA1" s="7" t="s">
        <v>138</v>
      </c>
      <c r="BB1" s="5" t="s">
        <v>139</v>
      </c>
      <c r="BC1" s="6" t="s">
        <v>140</v>
      </c>
      <c r="BD1" s="6" t="s">
        <v>141</v>
      </c>
      <c r="BE1" s="8" t="s">
        <v>142</v>
      </c>
      <c r="BF1" s="6" t="s">
        <v>143</v>
      </c>
      <c r="BG1" s="6" t="s">
        <v>144</v>
      </c>
      <c r="BH1" s="6" t="s">
        <v>145</v>
      </c>
      <c r="BI1" s="7" t="s">
        <v>169</v>
      </c>
      <c r="BJ1" s="9" t="s">
        <v>149</v>
      </c>
      <c r="BK1" s="6" t="s">
        <v>150</v>
      </c>
      <c r="BL1" s="6" t="s">
        <v>151</v>
      </c>
      <c r="BM1" s="6" t="s">
        <v>152</v>
      </c>
      <c r="BN1" s="6" t="s">
        <v>153</v>
      </c>
      <c r="BO1" s="6" t="s">
        <v>154</v>
      </c>
      <c r="BP1" s="6" t="s">
        <v>155</v>
      </c>
      <c r="BQ1" s="6" t="s">
        <v>156</v>
      </c>
      <c r="BR1" s="6" t="s">
        <v>157</v>
      </c>
      <c r="BS1" s="7" t="s">
        <v>158</v>
      </c>
      <c r="BT1" s="5" t="s">
        <v>586</v>
      </c>
      <c r="BU1" s="6" t="s">
        <v>585</v>
      </c>
      <c r="BV1" s="6" t="s">
        <v>581</v>
      </c>
      <c r="BW1" s="6" t="s">
        <v>582</v>
      </c>
      <c r="BX1" s="6" t="s">
        <v>583</v>
      </c>
      <c r="BY1" s="7" t="s">
        <v>584</v>
      </c>
      <c r="BZ1" s="5" t="s">
        <v>606</v>
      </c>
      <c r="CA1" s="6" t="s">
        <v>607</v>
      </c>
      <c r="CB1" s="6" t="s">
        <v>608</v>
      </c>
      <c r="CC1" s="6" t="s">
        <v>609</v>
      </c>
      <c r="CD1" s="6" t="s">
        <v>610</v>
      </c>
      <c r="CE1" s="6" t="s">
        <v>611</v>
      </c>
      <c r="CF1" s="6" t="s">
        <v>612</v>
      </c>
      <c r="CG1" s="7" t="s">
        <v>613</v>
      </c>
      <c r="CH1" s="5" t="s">
        <v>548</v>
      </c>
      <c r="CI1" s="6" t="s">
        <v>549</v>
      </c>
      <c r="CJ1" s="6" t="s">
        <v>550</v>
      </c>
      <c r="CK1" s="6" t="s">
        <v>614</v>
      </c>
      <c r="CL1" s="6" t="s">
        <v>551</v>
      </c>
      <c r="CM1" s="6" t="s">
        <v>552</v>
      </c>
      <c r="CN1" s="6" t="s">
        <v>553</v>
      </c>
      <c r="CO1" s="6" t="s">
        <v>554</v>
      </c>
      <c r="CP1" s="7" t="s">
        <v>555</v>
      </c>
      <c r="CQ1" s="5" t="s">
        <v>556</v>
      </c>
      <c r="CR1" s="6" t="s">
        <v>615</v>
      </c>
      <c r="CS1" s="7" t="s">
        <v>557</v>
      </c>
      <c r="CT1" s="9" t="s">
        <v>558</v>
      </c>
      <c r="CU1" s="9" t="s">
        <v>559</v>
      </c>
      <c r="CV1" s="9" t="s">
        <v>560</v>
      </c>
      <c r="CW1" s="9" t="s">
        <v>561</v>
      </c>
      <c r="CX1" s="9" t="s">
        <v>562</v>
      </c>
      <c r="CY1" s="9" t="s">
        <v>563</v>
      </c>
      <c r="CZ1" s="9" t="s">
        <v>564</v>
      </c>
      <c r="DA1" s="9" t="s">
        <v>565</v>
      </c>
      <c r="DB1" s="9" t="s">
        <v>566</v>
      </c>
      <c r="DC1" s="9" t="s">
        <v>567</v>
      </c>
      <c r="DD1" s="9" t="s">
        <v>568</v>
      </c>
      <c r="DE1" s="9" t="s">
        <v>569</v>
      </c>
      <c r="DF1" s="9" t="s">
        <v>570</v>
      </c>
      <c r="DG1" s="9" t="s">
        <v>571</v>
      </c>
      <c r="DH1" s="22" t="s">
        <v>572</v>
      </c>
      <c r="DI1" s="9" t="s">
        <v>617</v>
      </c>
      <c r="DJ1" s="6" t="s">
        <v>616</v>
      </c>
      <c r="DK1" s="22" t="s">
        <v>618</v>
      </c>
      <c r="DL1" s="5" t="s">
        <v>573</v>
      </c>
      <c r="DM1" s="22" t="s">
        <v>574</v>
      </c>
      <c r="DN1" s="6" t="s">
        <v>125</v>
      </c>
      <c r="DO1" s="6" t="s">
        <v>126</v>
      </c>
      <c r="DP1" s="6" t="s">
        <v>127</v>
      </c>
      <c r="DQ1" s="6" t="s">
        <v>128</v>
      </c>
      <c r="DR1" s="6" t="s">
        <v>129</v>
      </c>
      <c r="DS1" s="6" t="s">
        <v>130</v>
      </c>
      <c r="DT1" s="7" t="s">
        <v>131</v>
      </c>
    </row>
    <row r="2" spans="1:124" x14ac:dyDescent="0.25">
      <c r="A2" s="1">
        <f>data_a_traiter!BN2</f>
        <v>0</v>
      </c>
      <c r="B2" s="2" t="str">
        <f>IF(data_a_traiter!DV2="","",data_a_traiter!DV2)</f>
        <v/>
      </c>
      <c r="C2" s="18" t="str">
        <f>IF(data_a_traiter!DW2="","",data_a_traiter!DW2)</f>
        <v/>
      </c>
      <c r="D2" s="2" t="str">
        <f>IF(LEFT(data_a_traiter!BN2,2)="GE","Oui","Non")</f>
        <v>Non</v>
      </c>
      <c r="E2" s="2">
        <f>data_a_traiter!D2</f>
        <v>0</v>
      </c>
      <c r="F2" s="2" t="e">
        <f>VLOOKUP(E2,'Table correspondance'!F:G,2,0)</f>
        <v>#N/A</v>
      </c>
      <c r="G2" s="2" t="e">
        <f>VLOOKUP(E2,'Table correspondance'!F:H,3,0)</f>
        <v>#N/A</v>
      </c>
      <c r="H2" s="19">
        <f>data_a_traiter!A2</f>
        <v>0</v>
      </c>
      <c r="I2" s="2">
        <f>data_a_traiter!H2</f>
        <v>0</v>
      </c>
      <c r="J2" s="2" t="str">
        <f>RIGHT(data_a_traiter!K2,2)&amp;"/"&amp;LEFT(RIGHT(data_a_traiter!K2,4),2)&amp;"/"&amp;LEFT(data_a_traiter!K2,4)</f>
        <v>//</v>
      </c>
      <c r="K2" s="2" t="str">
        <f>IFERROR(VLOOKUP("SITUATION_FAMILLE"&amp;data_a_traiter!L2,'Table correspondance'!C:D,2,0),"")</f>
        <v/>
      </c>
      <c r="L2" s="2" t="str">
        <f>IFERROR(VLOOKUP("CAT_SOCIALE"&amp;data_a_traiter!M2,'Table correspondance'!C:D,2,0),"")</f>
        <v/>
      </c>
      <c r="M2" s="2">
        <f>data_a_traiter!CK2</f>
        <v>0</v>
      </c>
      <c r="N2" s="2">
        <f>data_a_traiter!O2</f>
        <v>0</v>
      </c>
      <c r="O2" s="2">
        <f>data_a_traiter!P2</f>
        <v>0</v>
      </c>
      <c r="P2" s="2">
        <f>data_a_traiter!Q2</f>
        <v>0</v>
      </c>
      <c r="Q2" s="2" t="str">
        <f>IF(data_a_traiter!R2="","",data_a_traiter!R2)</f>
        <v/>
      </c>
      <c r="R2" s="19" t="str">
        <f>RIGHT(data_a_traiter!G2,2)&amp;"/"&amp;LEFT(RIGHT(data_a_traiter!G2,4),2)&amp;"/"&amp;LEFT(data_a_traiter!G2,4)</f>
        <v>//</v>
      </c>
      <c r="S2" s="2">
        <f>data_a_traiter!BC2</f>
        <v>0</v>
      </c>
      <c r="T2" s="2" t="str">
        <f>IF(data_a_traiter!E2="","",data_a_traiter!E2)</f>
        <v/>
      </c>
      <c r="U2" s="21" t="str">
        <f>IF(data_a_traiter!F2="","",data_a_traiter!F2)</f>
        <v/>
      </c>
      <c r="V2" s="2" t="str">
        <f>IF(data_a_traiter!S2="","",data_a_traiter!S2)</f>
        <v/>
      </c>
      <c r="W2" s="2" t="str">
        <f>IF(data_a_traiter!T2="","",data_a_traiter!T2)</f>
        <v/>
      </c>
      <c r="X2" s="2" t="str">
        <f>IF(data_a_traiter!U2="","",data_a_traiter!U2)</f>
        <v/>
      </c>
      <c r="Y2" s="2" t="str">
        <f>IF(data_a_traiter!V2="","",VLOOKUP("COMP_NUM_VOIE"&amp;data_a_traiter!V2,'Table correspondance'!C:D,2,0))</f>
        <v/>
      </c>
      <c r="Z2" s="2" t="str">
        <f>IF(data_a_traiter!W2="","",VLOOKUP("ADRESSE_NAT_VOIE"&amp;data_a_traiter!W2,'Table correspondance'!C:D,2,0))</f>
        <v/>
      </c>
      <c r="AA2" s="2" t="str">
        <f>IF(data_a_traiter!X2="","",data_a_traiter!X2)</f>
        <v/>
      </c>
      <c r="AB2" s="2" t="str">
        <f>IF(data_a_traiter!Y2="","",data_a_traiter!Y2)</f>
        <v/>
      </c>
      <c r="AC2" s="2" t="str">
        <f>IF(data_a_traiter!Z2="","",data_a_traiter!Z2)</f>
        <v/>
      </c>
      <c r="AD2" s="2" t="str">
        <f>IF(data_a_traiter!AA2="","",data_a_traiter!AA2)</f>
        <v/>
      </c>
      <c r="AE2" s="2" t="str">
        <f>IF(data_a_traiter!AB2="","",data_a_traiter!AB2)</f>
        <v/>
      </c>
      <c r="AF2" s="2" t="str">
        <f>IF(data_a_traiter!AC2="","",data_a_traiter!AC2)</f>
        <v/>
      </c>
      <c r="AG2" s="2" t="str">
        <f>IF(data_a_traiter!AD2="","",data_a_traiter!AD2)</f>
        <v/>
      </c>
      <c r="AH2" s="21" t="str">
        <f>IF(data_a_traiter!AE2="","",data_a_traiter!AE2)</f>
        <v/>
      </c>
      <c r="AI2" s="2" t="str">
        <f>IF(data_a_traiter!AG2="","",IF(LEN(data_a_traiter!AG2)=9,0&amp;data_a_traiter!AG2,data_a_traiter!AG2))</f>
        <v/>
      </c>
      <c r="AJ2" s="2" t="str">
        <f>IF(data_a_traiter!AH2="","",IF(LEN(data_a_traiter!AH2)=9,0&amp;data_a_traiter!AH2,data_a_traiter!AH2))</f>
        <v/>
      </c>
      <c r="AK2" s="2" t="str">
        <f>IF(data_a_traiter!AI2="","",IF(LEN(data_a_traiter!AI2)=9,0&amp;data_a_traiter!AI2,data_a_traiter!AI2))</f>
        <v/>
      </c>
      <c r="AL2" s="2" t="str">
        <f>IF(data_a_traiter!AJ2="","",data_a_traiter!AJ2)</f>
        <v/>
      </c>
      <c r="AM2" s="21" t="str">
        <f>IF(data_a_traiter!AK2="","",IF(LEN(data_a_traiter!AK2)=9,0&amp;data_a_traiter!AK2,data_a_traiter!AK2))</f>
        <v/>
      </c>
      <c r="AN2" s="2" t="str">
        <f>IF(data_a_traiter!AL2="","",data_a_traiter!AL2)</f>
        <v/>
      </c>
      <c r="AO2" s="2" t="str">
        <f>IF(data_a_traiter!AM2="","",data_a_traiter!AM2)</f>
        <v/>
      </c>
      <c r="AP2" s="2" t="str">
        <f>IF(data_a_traiter!AN2="","",data_a_traiter!AN2)</f>
        <v/>
      </c>
      <c r="AQ2" s="2" t="str">
        <f>IF(data_a_traiter!AO2="","",data_a_traiter!AO2)</f>
        <v/>
      </c>
      <c r="AR2" s="2" t="str">
        <f>IF(data_a_traiter!AP2="","",data_a_traiter!AP2)</f>
        <v/>
      </c>
      <c r="AS2" s="2" t="str">
        <f>IF(data_a_traiter!AQ2="","",data_a_traiter!AQ2)</f>
        <v/>
      </c>
      <c r="AT2" s="2" t="str">
        <f>IF(data_a_traiter!AR2="","",data_a_traiter!AR2)</f>
        <v/>
      </c>
      <c r="AU2" s="2" t="str">
        <f>IF(data_a_traiter!AS2="","",RIGHT(data_a_traiter!AS2,2)&amp;"/"&amp;LEFT(RIGHT(data_a_traiter!AS2,4),2)&amp;"/"&amp;LEFT(data_a_traiter!AS2,4))</f>
        <v/>
      </c>
      <c r="AV2" s="21" t="str">
        <f>IF(data_a_traiter!AT2="","",data_a_traiter!AT2)</f>
        <v/>
      </c>
      <c r="AW2" s="2" t="str">
        <f>IF(data_a_traiter!CC2="","",VLOOKUP("MODE_PAIE"&amp;data_a_traiter!CC2,'Table correspondance'!C:D,2,0))</f>
        <v/>
      </c>
      <c r="AX2" s="2" t="str">
        <f>IF(data_a_traiter!CD2="","",VLOOKUP("PERIODICITE"&amp;data_a_traiter!CD2,'Table correspondance'!C:D,2,0))</f>
        <v/>
      </c>
      <c r="AY2" s="2">
        <f>data_a_traiter!CE2</f>
        <v>0</v>
      </c>
      <c r="AZ2" s="2" t="s">
        <v>547</v>
      </c>
      <c r="BA2" s="21" t="s">
        <v>649</v>
      </c>
      <c r="BB2" s="2" t="str">
        <f>IF(data_a_traiter!AU2="","",data_a_traiter!AU2)</f>
        <v/>
      </c>
      <c r="BC2" s="2" t="str">
        <f>IF(data_a_traiter!AV2="","",data_a_traiter!AV2)</f>
        <v/>
      </c>
      <c r="BD2" s="2" t="str">
        <f>IF(data_a_traiter!AW2="","",data_a_traiter!AW2)</f>
        <v/>
      </c>
      <c r="BE2" s="3" t="str">
        <f>IF(data_a_traiter!AX2="","",data_a_traiter!AX2)</f>
        <v/>
      </c>
      <c r="BF2" s="2" t="str">
        <f>IF(data_a_traiter!AY2="","",data_a_traiter!AY2)</f>
        <v/>
      </c>
      <c r="BG2" s="2" t="str">
        <f>IF(data_a_traiter!AZ2="","",data_a_traiter!AZ2)</f>
        <v/>
      </c>
      <c r="BH2" s="2" t="str">
        <f>IF(data_a_traiter!BA2="O","Oui","Non")</f>
        <v>Non</v>
      </c>
      <c r="BI2" s="21" t="str">
        <f>IF(data_a_traiter!CI2="O","Oui","Non")</f>
        <v>Non</v>
      </c>
      <c r="BJ2" s="2" t="str">
        <f>IF(data_a_traiter!BD2="","",data_a_traiter!BD2)</f>
        <v/>
      </c>
      <c r="BK2" s="2" t="str">
        <f>IF(data_a_traiter!BE2="","",data_a_traiter!BE2)</f>
        <v/>
      </c>
      <c r="BL2" s="2" t="str">
        <f>IF(data_a_traiter!BF2="","",data_a_traiter!BF2)</f>
        <v/>
      </c>
      <c r="BM2" s="2" t="str">
        <f>IF(data_a_traiter!BG2="","",data_a_traiter!BG2)</f>
        <v/>
      </c>
      <c r="BN2" s="2" t="str">
        <f>IF(data_a_traiter!BH2="","",data_a_traiter!BH2)</f>
        <v/>
      </c>
      <c r="BO2" s="2" t="str">
        <f>IF(data_a_traiter!BI2="","",data_a_traiter!BI2)</f>
        <v/>
      </c>
      <c r="BP2" s="2" t="str">
        <f>IF(data_a_traiter!BJ2="","",data_a_traiter!BJ2)</f>
        <v/>
      </c>
      <c r="BQ2" s="2" t="str">
        <f>IF(data_a_traiter!BK2="","",data_a_traiter!BK2)</f>
        <v/>
      </c>
      <c r="BR2" s="2" t="str">
        <f>IF(data_a_traiter!BL2="","",data_a_traiter!BL2)</f>
        <v/>
      </c>
      <c r="BS2" s="21" t="str">
        <f>IF(data_a_traiter!BM2="","",data_a_traiter!BM2)</f>
        <v/>
      </c>
      <c r="BT2" s="2" t="str">
        <f>IF(data_a_traiter!BO2="N","Non","Oui")</f>
        <v>Oui</v>
      </c>
      <c r="BU2" s="2" t="str">
        <f>IF(data_a_traiter!BP2="","",data_a_traiter!BP2)</f>
        <v/>
      </c>
      <c r="BV2" s="2" t="str">
        <f>RIGHT(data_a_traiter!BQ2,2)&amp;"/"&amp;LEFT(RIGHT(data_a_traiter!BQ2,4),2)&amp;"/"&amp;LEFT(data_a_traiter!BQ2,4)</f>
        <v>//</v>
      </c>
      <c r="BW2" s="2" t="str">
        <f>IF(data_a_traiter!BR2="","",data_a_traiter!BR2)</f>
        <v/>
      </c>
      <c r="BX2" s="2" t="str">
        <f>IF(data_a_traiter!BS2="","",data_a_traiter!BS2)</f>
        <v/>
      </c>
      <c r="BY2" s="21" t="str">
        <f>IF(data_a_traiter!BT2="","",data_a_traiter!BT2)</f>
        <v/>
      </c>
      <c r="BZ2" s="2" t="str">
        <f>IF(data_a_traiter!BU2="","",data_a_traiter!BU2)</f>
        <v/>
      </c>
      <c r="CA2" s="2" t="str">
        <f>IF(data_a_traiter!BV2="","",data_a_traiter!BV2)</f>
        <v/>
      </c>
      <c r="CB2" s="2" t="str">
        <f>IF(data_a_traiter!BW2="","",data_a_traiter!BW2)</f>
        <v/>
      </c>
      <c r="CC2" s="2" t="str">
        <f>IF(data_a_traiter!BX2="","",data_a_traiter!BX2)</f>
        <v/>
      </c>
      <c r="CD2" s="2" t="str">
        <f>IF(data_a_traiter!BY2="","",data_a_traiter!BY2)</f>
        <v/>
      </c>
      <c r="CE2" s="2" t="str">
        <f>IF(data_a_traiter!BZ2="","",data_a_traiter!BZ2)</f>
        <v/>
      </c>
      <c r="CF2" s="2" t="str">
        <f>IF(data_a_traiter!CA2="","",data_a_traiter!CA2)</f>
        <v/>
      </c>
      <c r="CG2" s="21" t="str">
        <f>IF(data_a_traiter!CB2="","",data_a_traiter!CB2)</f>
        <v/>
      </c>
      <c r="CH2" s="2" t="str">
        <f>IF(data_a_traiter!CL2="","",data_a_traiter!CL2)</f>
        <v/>
      </c>
      <c r="CI2" s="2" t="str">
        <f>IF(data_a_traiter!CM2="","",RIGHT(data_a_traiter!CM2,2)&amp;"/"&amp;LEFT(RIGHT(data_a_traiter!CM2,4),2)&amp;"/"&amp;LEFT(data_a_traiter!CM2,4))</f>
        <v/>
      </c>
      <c r="CJ2" s="2" t="str">
        <f>IF(data_a_traiter!CN2="","",RIGHT(data_a_traiter!CN2,2)&amp;"/"&amp;LEFT(RIGHT(data_a_traiter!CN2,4),2)&amp;"/"&amp;LEFT(data_a_traiter!CN2,4))</f>
        <v/>
      </c>
      <c r="CK2" s="2" t="str">
        <f>IF(data_a_traiter!CO2="","",data_a_traiter!CO2)</f>
        <v/>
      </c>
      <c r="CL2" s="2" t="str">
        <f>IF(data_a_traiter!CP2="","",RIGHT(data_a_traiter!CP2,2)&amp;"/"&amp;LEFT(RIGHT(data_a_traiter!CP2,4),2)&amp;"/"&amp;LEFT(data_a_traiter!CP2,4))</f>
        <v/>
      </c>
      <c r="CM2" s="2" t="str">
        <f>IF(data_a_traiter!CQ2="","",RIGHT(data_a_traiter!CQ2,2)&amp;"/"&amp;LEFT(RIGHT(data_a_traiter!CQ2,4),2)&amp;"/"&amp;LEFT(data_a_traiter!CQ2,4))</f>
        <v/>
      </c>
      <c r="CN2" s="2" t="str">
        <f>IF(data_a_traiter!CR2="","",data_a_traiter!CR2)</f>
        <v/>
      </c>
      <c r="CO2" s="24" t="str">
        <f>IF(data_a_traiter!CS2="","",RIGHT(data_a_traiter!CS2,2)&amp;"/"&amp;LEFT(RIGHT(data_a_traiter!CS2,4),2)&amp;"/"&amp;LEFT(data_a_traiter!CS2,4))</f>
        <v/>
      </c>
      <c r="CP2" s="21" t="str">
        <f>IF(data_a_traiter!CT2="","",RIGHT(data_a_traiter!CT2,2)&amp;"/"&amp;LEFT(RIGHT(data_a_traiter!CT2,4),2)&amp;"/"&amp;LEFT(data_a_traiter!CT2,4))</f>
        <v/>
      </c>
      <c r="CQ2" s="2" t="str">
        <f>IF(data_a_traiter!CU2="","",data_a_traiter!CU2)</f>
        <v/>
      </c>
      <c r="CR2" s="2" t="str">
        <f>IF(data_a_traiter!CV2="","",data_a_traiter!CV2)</f>
        <v/>
      </c>
      <c r="CS2" s="21" t="str">
        <f>IF(data_a_traiter!CW2="","",RIGHT(data_a_traiter!CW2,2)&amp;"/"&amp;LEFT(RIGHT(data_a_traiter!CW2,4),2)&amp;"/"&amp;LEFT(data_a_traiter!CW2,4))</f>
        <v/>
      </c>
      <c r="CT2" s="2" t="str">
        <f>IF(data_a_traiter!CX2="","",data_a_traiter!CX2)</f>
        <v/>
      </c>
      <c r="CU2" s="2" t="str">
        <f>IF(data_a_traiter!CY2="","",data_a_traiter!CY2)</f>
        <v/>
      </c>
      <c r="CV2" s="2" t="str">
        <f>IF(data_a_traiter!CZ2="","",data_a_traiter!CZ2)</f>
        <v/>
      </c>
      <c r="CW2" s="2" t="str">
        <f>IF(data_a_traiter!DA2="","",data_a_traiter!DA2)</f>
        <v/>
      </c>
      <c r="CX2" s="2" t="str">
        <f>IF(data_a_traiter!DB2="","",data_a_traiter!DB2)</f>
        <v/>
      </c>
      <c r="CY2" s="2" t="str">
        <f>IF(data_a_traiter!DC2="","",data_a_traiter!DC2)</f>
        <v/>
      </c>
      <c r="CZ2" s="2" t="str">
        <f>IF(data_a_traiter!DD2="","",data_a_traiter!DD2)</f>
        <v/>
      </c>
      <c r="DA2" s="2" t="str">
        <f>IF(data_a_traiter!DE2="","",data_a_traiter!DE2)</f>
        <v/>
      </c>
      <c r="DB2" s="2" t="str">
        <f>IF(data_a_traiter!DF2="","",data_a_traiter!DF2)</f>
        <v/>
      </c>
      <c r="DC2" s="2" t="str">
        <f>IF(data_a_traiter!DG2="","",data_a_traiter!DG2)</f>
        <v/>
      </c>
      <c r="DD2" s="2" t="str">
        <f>IF(data_a_traiter!DH2="","",data_a_traiter!DH2)</f>
        <v/>
      </c>
      <c r="DE2" s="2" t="str">
        <f>IF(data_a_traiter!DI2="","",data_a_traiter!DI2)</f>
        <v/>
      </c>
      <c r="DF2" s="2" t="str">
        <f>IF(data_a_traiter!DJ2="","",data_a_traiter!DJ2)</f>
        <v/>
      </c>
      <c r="DG2" s="2" t="str">
        <f>IF(data_a_traiter!DK2="","",data_a_traiter!DK2)</f>
        <v/>
      </c>
      <c r="DH2" s="21" t="str">
        <f>IF(data_a_traiter!DL2="","",data_a_traiter!DL2)</f>
        <v/>
      </c>
      <c r="DI2" s="2" t="str">
        <f>IF(data_a_traiter!DM2="","",data_a_traiter!DM2)</f>
        <v/>
      </c>
      <c r="DJ2" s="2" t="str">
        <f>IF(data_a_traiter!DN2="","",RIGHT(data_a_traiter!DN2,2)&amp;"/"&amp;LEFT(RIGHT(data_a_traiter!DN2,4),2)&amp;"/"&amp;LEFT(data_a_traiter!DN2,4))</f>
        <v/>
      </c>
      <c r="DK2" s="21" t="str">
        <f>IF(data_a_traiter!DO2="","",RIGHT(data_a_traiter!DO2,2)&amp;"/"&amp;LEFT(RIGHT(data_a_traiter!DO2,4),2)&amp;"/"&amp;LEFT(data_a_traiter!DO2,4))</f>
        <v/>
      </c>
      <c r="DL2" s="2" t="str">
        <f>IF(data_a_traiter!DP2="","",data_a_traiter!DP2)</f>
        <v/>
      </c>
      <c r="DM2" s="21" t="str">
        <f>IF(data_a_traiter!DQ2="","",RIGHT(data_a_traiter!DQ2,2)&amp;"/"&amp;LEFT(RIGHT(data_a_traiter!DQ2,4),2)&amp;"/"&amp;LEFT(data_a_traiter!DQ2,4))</f>
        <v/>
      </c>
      <c r="DN2" s="2" t="str">
        <f>IF(data_a_traiter!DX2="","",data_a_traiter!DX2)</f>
        <v/>
      </c>
      <c r="DO2" s="2" t="str">
        <f>IF(data_a_traiter!DY2="","",data_a_traiter!DY2)</f>
        <v/>
      </c>
      <c r="DP2" s="2" t="str">
        <f>IF(data_a_traiter!DZ2="","",data_a_traiter!DZ2)</f>
        <v/>
      </c>
      <c r="DQ2" s="2" t="str">
        <f>IF(data_a_traiter!EA2="","",data_a_traiter!EA2)</f>
        <v/>
      </c>
      <c r="DR2" s="2" t="str">
        <f>IF(data_a_traiter!EB2="","",data_a_traiter!EB2)</f>
        <v/>
      </c>
      <c r="DS2" s="2" t="str">
        <f>IF(data_a_traiter!EC2="","",data_a_traiter!EC2)</f>
        <v/>
      </c>
      <c r="DT2" s="21" t="str">
        <f>IF(data_a_traiter!ED2="","",data_a_traiter!ED2)</f>
        <v/>
      </c>
    </row>
    <row r="3" spans="1:124" x14ac:dyDescent="0.25">
      <c r="C3" s="18"/>
      <c r="H3" s="19"/>
      <c r="R3" s="19"/>
      <c r="U3" s="21"/>
      <c r="AH3" s="21"/>
      <c r="AM3" s="21"/>
      <c r="AV3" s="21"/>
      <c r="BA3" s="21"/>
      <c r="BI3" s="21"/>
      <c r="BS3" s="21"/>
      <c r="BY3" s="21"/>
      <c r="CG3" s="21"/>
      <c r="CP3" s="21"/>
      <c r="CS3" s="21"/>
      <c r="DH3" s="21"/>
      <c r="DK3" s="21"/>
      <c r="DM3" s="21"/>
      <c r="DT3" s="21"/>
    </row>
    <row r="4" spans="1:124" x14ac:dyDescent="0.25">
      <c r="C4" s="18"/>
      <c r="H4" s="19"/>
      <c r="R4" s="19"/>
      <c r="U4" s="21"/>
      <c r="AH4" s="21"/>
      <c r="AM4" s="21"/>
      <c r="AV4" s="21"/>
      <c r="BA4" s="21"/>
      <c r="BI4" s="21"/>
      <c r="BS4" s="21"/>
      <c r="BY4" s="21"/>
      <c r="CG4" s="21"/>
      <c r="CP4" s="21"/>
      <c r="CS4" s="21"/>
      <c r="DH4" s="21"/>
      <c r="DK4" s="21"/>
      <c r="DM4" s="21"/>
      <c r="DT4" s="21"/>
    </row>
    <row r="5" spans="1:124" x14ac:dyDescent="0.25">
      <c r="C5" s="18"/>
      <c r="H5" s="19"/>
      <c r="R5" s="19"/>
      <c r="U5" s="21"/>
      <c r="AH5" s="21"/>
      <c r="AM5" s="21"/>
      <c r="AV5" s="21"/>
      <c r="BI5" s="21"/>
      <c r="CP5" s="21"/>
    </row>
    <row r="6" spans="1:124" x14ac:dyDescent="0.25">
      <c r="C6" s="18"/>
      <c r="H6" s="19"/>
      <c r="R6" s="19"/>
      <c r="U6" s="21"/>
      <c r="AH6" s="21"/>
      <c r="BI6" s="21"/>
      <c r="CP6" s="21"/>
    </row>
    <row r="7" spans="1:124" x14ac:dyDescent="0.25">
      <c r="C7" s="18"/>
      <c r="R7" s="19"/>
      <c r="CP7" s="21"/>
    </row>
    <row r="8" spans="1:124" x14ac:dyDescent="0.25">
      <c r="C8" s="18"/>
    </row>
    <row r="9" spans="1:124" x14ac:dyDescent="0.25">
      <c r="C9" s="18"/>
    </row>
    <row r="10" spans="1:124" x14ac:dyDescent="0.25">
      <c r="C10" s="18"/>
    </row>
    <row r="11" spans="1:124" x14ac:dyDescent="0.25">
      <c r="C11" s="18"/>
    </row>
    <row r="12" spans="1:124" x14ac:dyDescent="0.25">
      <c r="C12" s="18"/>
    </row>
    <row r="13" spans="1:124" x14ac:dyDescent="0.25">
      <c r="C13" s="18"/>
    </row>
    <row r="14" spans="1:124" x14ac:dyDescent="0.25">
      <c r="C14" s="18"/>
    </row>
    <row r="15" spans="1:124" x14ac:dyDescent="0.25">
      <c r="C15" s="18"/>
    </row>
    <row r="16" spans="1:124" x14ac:dyDescent="0.25">
      <c r="C16" s="18"/>
    </row>
    <row r="17" spans="3:3" x14ac:dyDescent="0.25">
      <c r="C17" s="18"/>
    </row>
    <row r="18" spans="3:3" x14ac:dyDescent="0.25">
      <c r="C18" s="18"/>
    </row>
    <row r="19" spans="3:3" x14ac:dyDescent="0.25">
      <c r="C19" s="18"/>
    </row>
    <row r="20" spans="3:3" x14ac:dyDescent="0.25">
      <c r="C20" s="18"/>
    </row>
    <row r="21" spans="3:3" x14ac:dyDescent="0.25">
      <c r="C21" s="18"/>
    </row>
    <row r="22" spans="3:3" x14ac:dyDescent="0.25">
      <c r="C22" s="18"/>
    </row>
    <row r="23" spans="3:3" x14ac:dyDescent="0.25">
      <c r="C23" s="18"/>
    </row>
    <row r="24" spans="3:3" x14ac:dyDescent="0.25">
      <c r="C24" s="18"/>
    </row>
    <row r="25" spans="3:3" x14ac:dyDescent="0.25">
      <c r="C25" s="18"/>
    </row>
    <row r="26" spans="3:3" x14ac:dyDescent="0.2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T9990">
    <sortCondition ref="H2:H9990"/>
    <sortCondition ref="E2:E9990"/>
    <sortCondition ref="A2:A999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/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T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1.85546875" style="2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6" t="s">
        <v>165</v>
      </c>
      <c r="F1" s="30" t="s">
        <v>748</v>
      </c>
      <c r="G1" s="7" t="s">
        <v>749</v>
      </c>
      <c r="H1" s="20" t="s">
        <v>620</v>
      </c>
      <c r="I1" s="5" t="s">
        <v>594</v>
      </c>
      <c r="J1" s="6" t="s">
        <v>159</v>
      </c>
      <c r="K1" s="6" t="s">
        <v>160</v>
      </c>
      <c r="L1" s="6" t="s">
        <v>161</v>
      </c>
      <c r="M1" s="6" t="s">
        <v>596</v>
      </c>
      <c r="N1" s="6" t="s">
        <v>162</v>
      </c>
      <c r="O1" s="6" t="s">
        <v>163</v>
      </c>
      <c r="P1" s="6" t="s">
        <v>595</v>
      </c>
      <c r="Q1" s="7" t="s">
        <v>164</v>
      </c>
      <c r="R1" s="5" t="s">
        <v>146</v>
      </c>
      <c r="S1" s="6" t="s">
        <v>147</v>
      </c>
      <c r="T1" s="6" t="s">
        <v>597</v>
      </c>
      <c r="U1" s="7" t="s">
        <v>148</v>
      </c>
      <c r="V1" s="5" t="s">
        <v>12</v>
      </c>
      <c r="W1" s="6" t="s">
        <v>13</v>
      </c>
      <c r="X1" s="6" t="s">
        <v>14</v>
      </c>
      <c r="Y1" s="6" t="s">
        <v>15</v>
      </c>
      <c r="Z1" s="6" t="s">
        <v>16</v>
      </c>
      <c r="AA1" s="6" t="s">
        <v>17</v>
      </c>
      <c r="AB1" s="6" t="s">
        <v>18</v>
      </c>
      <c r="AC1" s="6" t="s">
        <v>19</v>
      </c>
      <c r="AD1" s="6" t="s">
        <v>20</v>
      </c>
      <c r="AE1" s="6" t="s">
        <v>21</v>
      </c>
      <c r="AF1" s="6" t="s">
        <v>22</v>
      </c>
      <c r="AG1" s="6" t="s">
        <v>23</v>
      </c>
      <c r="AH1" s="7" t="s">
        <v>24</v>
      </c>
      <c r="AI1" s="5" t="s">
        <v>589</v>
      </c>
      <c r="AJ1" s="6" t="s">
        <v>588</v>
      </c>
      <c r="AK1" s="6" t="s">
        <v>166</v>
      </c>
      <c r="AL1" s="6" t="s">
        <v>587</v>
      </c>
      <c r="AM1" s="7" t="s">
        <v>167</v>
      </c>
      <c r="AN1" s="5" t="s">
        <v>598</v>
      </c>
      <c r="AO1" s="6" t="s">
        <v>599</v>
      </c>
      <c r="AP1" s="6" t="s">
        <v>600</v>
      </c>
      <c r="AQ1" s="6" t="s">
        <v>601</v>
      </c>
      <c r="AR1" s="6" t="s">
        <v>602</v>
      </c>
      <c r="AS1" s="6" t="s">
        <v>603</v>
      </c>
      <c r="AT1" s="6" t="s">
        <v>604</v>
      </c>
      <c r="AU1" s="6" t="s">
        <v>168</v>
      </c>
      <c r="AV1" s="7" t="s">
        <v>605</v>
      </c>
      <c r="AW1" s="5" t="s">
        <v>134</v>
      </c>
      <c r="AX1" s="6" t="s">
        <v>135</v>
      </c>
      <c r="AY1" s="6" t="s">
        <v>136</v>
      </c>
      <c r="AZ1" s="6" t="s">
        <v>137</v>
      </c>
      <c r="BA1" s="7" t="s">
        <v>138</v>
      </c>
      <c r="BB1" s="5" t="s">
        <v>139</v>
      </c>
      <c r="BC1" s="6" t="s">
        <v>140</v>
      </c>
      <c r="BD1" s="6" t="s">
        <v>141</v>
      </c>
      <c r="BE1" s="8" t="s">
        <v>142</v>
      </c>
      <c r="BF1" s="6" t="s">
        <v>143</v>
      </c>
      <c r="BG1" s="6" t="s">
        <v>144</v>
      </c>
      <c r="BH1" s="6" t="s">
        <v>145</v>
      </c>
      <c r="BI1" s="7" t="s">
        <v>169</v>
      </c>
      <c r="BJ1" s="9" t="s">
        <v>149</v>
      </c>
      <c r="BK1" s="6" t="s">
        <v>150</v>
      </c>
      <c r="BL1" s="6" t="s">
        <v>151</v>
      </c>
      <c r="BM1" s="6" t="s">
        <v>152</v>
      </c>
      <c r="BN1" s="6" t="s">
        <v>153</v>
      </c>
      <c r="BO1" s="6" t="s">
        <v>154</v>
      </c>
      <c r="BP1" s="6" t="s">
        <v>155</v>
      </c>
      <c r="BQ1" s="6" t="s">
        <v>156</v>
      </c>
      <c r="BR1" s="6" t="s">
        <v>157</v>
      </c>
      <c r="BS1" s="7" t="s">
        <v>158</v>
      </c>
      <c r="BT1" s="5" t="s">
        <v>586</v>
      </c>
      <c r="BU1" s="6" t="s">
        <v>585</v>
      </c>
      <c r="BV1" s="6" t="s">
        <v>581</v>
      </c>
      <c r="BW1" s="6" t="s">
        <v>582</v>
      </c>
      <c r="BX1" s="6" t="s">
        <v>583</v>
      </c>
      <c r="BY1" s="7" t="s">
        <v>584</v>
      </c>
      <c r="BZ1" s="5" t="s">
        <v>606</v>
      </c>
      <c r="CA1" s="6" t="s">
        <v>607</v>
      </c>
      <c r="CB1" s="6" t="s">
        <v>608</v>
      </c>
      <c r="CC1" s="6" t="s">
        <v>609</v>
      </c>
      <c r="CD1" s="6" t="s">
        <v>610</v>
      </c>
      <c r="CE1" s="6" t="s">
        <v>611</v>
      </c>
      <c r="CF1" s="6" t="s">
        <v>612</v>
      </c>
      <c r="CG1" s="7" t="s">
        <v>613</v>
      </c>
      <c r="CH1" s="5" t="s">
        <v>548</v>
      </c>
      <c r="CI1" s="6" t="s">
        <v>549</v>
      </c>
      <c r="CJ1" s="6" t="s">
        <v>550</v>
      </c>
      <c r="CK1" s="6" t="s">
        <v>614</v>
      </c>
      <c r="CL1" s="6" t="s">
        <v>551</v>
      </c>
      <c r="CM1" s="6" t="s">
        <v>552</v>
      </c>
      <c r="CN1" s="6" t="s">
        <v>553</v>
      </c>
      <c r="CO1" s="6" t="s">
        <v>554</v>
      </c>
      <c r="CP1" s="7" t="s">
        <v>555</v>
      </c>
      <c r="CQ1" s="5" t="s">
        <v>556</v>
      </c>
      <c r="CR1" s="6" t="s">
        <v>615</v>
      </c>
      <c r="CS1" s="7" t="s">
        <v>557</v>
      </c>
      <c r="CT1" s="9" t="s">
        <v>558</v>
      </c>
      <c r="CU1" s="9" t="s">
        <v>559</v>
      </c>
      <c r="CV1" s="9" t="s">
        <v>560</v>
      </c>
      <c r="CW1" s="9" t="s">
        <v>561</v>
      </c>
      <c r="CX1" s="9" t="s">
        <v>562</v>
      </c>
      <c r="CY1" s="9" t="s">
        <v>563</v>
      </c>
      <c r="CZ1" s="9" t="s">
        <v>564</v>
      </c>
      <c r="DA1" s="9" t="s">
        <v>565</v>
      </c>
      <c r="DB1" s="9" t="s">
        <v>566</v>
      </c>
      <c r="DC1" s="9" t="s">
        <v>567</v>
      </c>
      <c r="DD1" s="9" t="s">
        <v>568</v>
      </c>
      <c r="DE1" s="9" t="s">
        <v>569</v>
      </c>
      <c r="DF1" s="9" t="s">
        <v>570</v>
      </c>
      <c r="DG1" s="9" t="s">
        <v>571</v>
      </c>
      <c r="DH1" s="7" t="s">
        <v>572</v>
      </c>
      <c r="DI1" s="5" t="s">
        <v>617</v>
      </c>
      <c r="DJ1" s="6" t="s">
        <v>616</v>
      </c>
      <c r="DK1" s="7" t="s">
        <v>618</v>
      </c>
      <c r="DL1" s="5" t="s">
        <v>573</v>
      </c>
      <c r="DM1" s="7" t="s">
        <v>574</v>
      </c>
      <c r="DN1" s="6" t="s">
        <v>125</v>
      </c>
      <c r="DO1" s="6" t="s">
        <v>126</v>
      </c>
      <c r="DP1" s="6" t="s">
        <v>127</v>
      </c>
      <c r="DQ1" s="6" t="s">
        <v>128</v>
      </c>
      <c r="DR1" s="6" t="s">
        <v>129</v>
      </c>
      <c r="DS1" s="6" t="s">
        <v>130</v>
      </c>
      <c r="DT1" s="7" t="s">
        <v>131</v>
      </c>
    </row>
    <row r="2" spans="1:124" s="12" customFormat="1" x14ac:dyDescent="0.25">
      <c r="A2" s="23">
        <f>data_transmis!BN2</f>
        <v>0</v>
      </c>
      <c r="B2" s="24" t="str">
        <f>IF(data_transmis!DV2="","",data_transmis!DV2)</f>
        <v/>
      </c>
      <c r="C2" s="25" t="str">
        <f>IF(data_transmis!DW2="","",data_transmis!DW2)</f>
        <v/>
      </c>
      <c r="D2" s="2" t="str">
        <f>IF(LEFT(data_transmis!BN2,2)="GE","Oui","Non")</f>
        <v>Non</v>
      </c>
      <c r="E2" s="2">
        <f>data_transmis!D2</f>
        <v>0</v>
      </c>
      <c r="F2" s="2" t="e">
        <f>VLOOKUP(E2,'Table correspondance'!F:H,2,0)</f>
        <v>#N/A</v>
      </c>
      <c r="G2" s="2" t="e">
        <f>VLOOKUP(E2,'Table correspondance'!F:H,3,0)</f>
        <v>#N/A</v>
      </c>
      <c r="H2" s="19">
        <f>data_transmis!A2</f>
        <v>0</v>
      </c>
      <c r="I2" s="24">
        <f>data_transmis!H2</f>
        <v>0</v>
      </c>
      <c r="J2" s="24" t="str">
        <f>RIGHT(data_transmis!K2,2)&amp;"/"&amp;LEFT(RIGHT(data_transmis!K2,4),2)&amp;"/"&amp;LEFT(data_transmis!K2,4)</f>
        <v>//</v>
      </c>
      <c r="K2" s="24" t="str">
        <f>IFERROR(VLOOKUP("SITUATION_FAMILLE"&amp;data_transmis!L2,'Table correspondance'!C:D,2,0),"")</f>
        <v/>
      </c>
      <c r="L2" s="24" t="str">
        <f>IFERROR(VLOOKUP("CAT_SOCIALE"&amp;data_transmis!M2,'Table correspondance'!C:D,2,0),"")</f>
        <v/>
      </c>
      <c r="M2" s="24">
        <f>data_transmis!CK2</f>
        <v>0</v>
      </c>
      <c r="N2" s="24">
        <f>data_transmis!O2</f>
        <v>0</v>
      </c>
      <c r="O2" s="24">
        <f>data_transmis!P2</f>
        <v>0</v>
      </c>
      <c r="P2" s="24">
        <f>data_transmis!Q2</f>
        <v>0</v>
      </c>
      <c r="Q2" s="21" t="str">
        <f>IF(data_transmis!R2="","",data_transmis!R2)</f>
        <v/>
      </c>
      <c r="R2" s="24" t="str">
        <f>RIGHT(data_transmis!G2,2)&amp;"/"&amp;LEFT(RIGHT(data_transmis!G2,4),2)&amp;"/"&amp;LEFT(data_transmis!G2,4)</f>
        <v>//</v>
      </c>
      <c r="S2" s="24">
        <f>data_transmis!BC2</f>
        <v>0</v>
      </c>
      <c r="T2" s="24" t="str">
        <f>IF(data_transmis!E2="","",data_transmis!E2)</f>
        <v/>
      </c>
      <c r="U2" s="21" t="str">
        <f>IF(data_transmis!F2="","",data_transmis!F2)</f>
        <v/>
      </c>
      <c r="V2" s="24" t="str">
        <f>IF(data_transmis!S2="","",data_transmis!S2)</f>
        <v/>
      </c>
      <c r="W2" s="24" t="str">
        <f>IF(data_transmis!T2="","",data_transmis!T2)</f>
        <v/>
      </c>
      <c r="X2" s="24" t="str">
        <f>IF(data_transmis!U2="","",data_transmis!U2)</f>
        <v/>
      </c>
      <c r="Y2" s="24" t="str">
        <f>IF(data_transmis!V2="","",VLOOKUP("COMP_NUM_VOIE"&amp;data_transmis!V2,'Table correspondance'!C:D,2,0))</f>
        <v/>
      </c>
      <c r="Z2" s="24" t="str">
        <f>IF(data_transmis!W2="","",VLOOKUP("ADRESSE_NAT_VOIE"&amp;data_transmis!W2,'Table correspondance'!C:D,2,0))</f>
        <v/>
      </c>
      <c r="AA2" s="24" t="str">
        <f>IF(data_transmis!X2="","",data_transmis!X2)</f>
        <v/>
      </c>
      <c r="AB2" s="24" t="str">
        <f>IF(data_transmis!Y2="","",data_transmis!Y2)</f>
        <v/>
      </c>
      <c r="AC2" s="24" t="str">
        <f>IF(data_transmis!Z2="","",data_transmis!Z2)</f>
        <v/>
      </c>
      <c r="AD2" s="24" t="str">
        <f>IF(data_transmis!AA2="","",data_transmis!AA2)</f>
        <v/>
      </c>
      <c r="AE2" s="24" t="str">
        <f>IF(data_transmis!AB2="","",data_transmis!AB2)</f>
        <v/>
      </c>
      <c r="AF2" s="24" t="str">
        <f>IF(data_transmis!AC2="","",data_transmis!AC2)</f>
        <v/>
      </c>
      <c r="AG2" s="24" t="str">
        <f>IF(data_transmis!AD2="","",data_transmis!AD2)</f>
        <v/>
      </c>
      <c r="AH2" s="21" t="str">
        <f>IF(data_transmis!AE2="","",data_transmis!AE2)</f>
        <v/>
      </c>
      <c r="AI2" s="24" t="str">
        <f>IF(data_transmis!AG2="","",IF(LEN(data_transmis!AG2)=9,0&amp;data_transmis!AG2,data_transmis!AG2))</f>
        <v/>
      </c>
      <c r="AJ2" s="24" t="str">
        <f>IF(data_transmis!AH2="","",IF(LEN(data_transmis!AH2)=9,0&amp;data_transmis!AH2,data_transmis!AH2))</f>
        <v/>
      </c>
      <c r="AK2" s="24" t="str">
        <f>IF(data_transmis!AI2="","",IF(LEN(data_transmis!AI2)=9,0&amp;data_transmis!AI2,data_transmis!AI2))</f>
        <v/>
      </c>
      <c r="AL2" s="24" t="str">
        <f>IF(data_transmis!AJ2="","",data_transmis!AJ2)</f>
        <v/>
      </c>
      <c r="AM2" s="21" t="str">
        <f>IF(data_transmis!AK2="","",IF(LEN(data_transmis!AK2)=9,0&amp;data_transmis!AK2,data_transmis!AK2))</f>
        <v/>
      </c>
      <c r="AN2" s="24" t="str">
        <f>IF(data_transmis!AL2="","",data_transmis!AL2)</f>
        <v/>
      </c>
      <c r="AO2" s="24" t="str">
        <f>IF(data_transmis!AM2="","",data_transmis!AM2)</f>
        <v/>
      </c>
      <c r="AP2" s="24" t="str">
        <f>IF(data_transmis!AN2="","",data_transmis!AN2)</f>
        <v/>
      </c>
      <c r="AQ2" s="24" t="str">
        <f>IF(data_transmis!AO2="","",data_transmis!AO2)</f>
        <v/>
      </c>
      <c r="AR2" s="24" t="str">
        <f>IF(data_transmis!AP2="","",data_transmis!AP2)</f>
        <v/>
      </c>
      <c r="AS2" s="24" t="str">
        <f>IF(data_transmis!AQ2="","",data_transmis!AQ2)</f>
        <v/>
      </c>
      <c r="AT2" s="24" t="str">
        <f>IF(data_transmis!AR2="","",data_transmis!AR2)</f>
        <v/>
      </c>
      <c r="AU2" s="24" t="str">
        <f>IF(data_transmis!AS2="","",RIGHT(data_transmis!AS2,2)&amp;"/"&amp;LEFT(RIGHT(data_transmis!AS2,4),2)&amp;"/"&amp;LEFT(data_transmis!AS2,4))</f>
        <v/>
      </c>
      <c r="AV2" s="21" t="str">
        <f>IF(data_transmis!AT2="","",data_transmis!AT2)</f>
        <v/>
      </c>
      <c r="AW2" s="24" t="str">
        <f>IF(data_transmis!CC2="","",VLOOKUP("MODE_PAIE"&amp;data_transmis!CC2,'Table correspondance'!C:D,2,0))</f>
        <v/>
      </c>
      <c r="AX2" s="24" t="str">
        <f>IF(data_transmis!CD2="","",VLOOKUP("PERIODICITE"&amp;data_transmis!CD2,'Table correspondance'!C:D,2,0))</f>
        <v/>
      </c>
      <c r="AY2" s="24">
        <f>data_transmis!CE2</f>
        <v>0</v>
      </c>
      <c r="AZ2" s="24" t="s">
        <v>547</v>
      </c>
      <c r="BA2" s="21" t="s">
        <v>649</v>
      </c>
      <c r="BB2" s="24" t="str">
        <f>IF(data_transmis!AU2="","",data_transmis!AU2)</f>
        <v/>
      </c>
      <c r="BC2" s="24" t="str">
        <f>IF(data_transmis!AV2="","",data_transmis!AV2)</f>
        <v/>
      </c>
      <c r="BD2" s="24" t="str">
        <f>IF(data_transmis!AW2="","",data_transmis!AW2)</f>
        <v/>
      </c>
      <c r="BE2" s="26" t="str">
        <f>IF(data_transmis!AX2="","",data_transmis!AX2)</f>
        <v/>
      </c>
      <c r="BF2" s="24" t="str">
        <f>IF(data_transmis!AY2="","",data_transmis!AY2)</f>
        <v/>
      </c>
      <c r="BG2" s="24" t="str">
        <f>IF(data_transmis!AZ2="","",data_transmis!AZ2)</f>
        <v/>
      </c>
      <c r="BH2" s="24" t="str">
        <f>IF(data_transmis!BA2="O","Oui","Non")</f>
        <v>Non</v>
      </c>
      <c r="BI2" s="21" t="str">
        <f>IF(data_transmis!CI2="O","Oui","Non")</f>
        <v>Non</v>
      </c>
      <c r="BJ2" s="24" t="str">
        <f>IF(data_transmis!BD2="","",data_transmis!BD2)</f>
        <v/>
      </c>
      <c r="BK2" s="24" t="str">
        <f>IF(data_transmis!BE2="","",data_transmis!BE2)</f>
        <v/>
      </c>
      <c r="BL2" s="24" t="str">
        <f>IF(data_transmis!BF2="","",data_transmis!BF2)</f>
        <v/>
      </c>
      <c r="BM2" s="24" t="str">
        <f>IF(data_transmis!BG2="","",data_transmis!BG2)</f>
        <v/>
      </c>
      <c r="BN2" s="24" t="str">
        <f>IF(data_transmis!BH2="","",data_transmis!BH2)</f>
        <v/>
      </c>
      <c r="BO2" s="24" t="str">
        <f>IF(data_transmis!BI2="","",data_transmis!BI2)</f>
        <v/>
      </c>
      <c r="BP2" s="24" t="str">
        <f>IF(data_transmis!BJ2="","",data_transmis!BJ2)</f>
        <v/>
      </c>
      <c r="BQ2" s="24" t="str">
        <f>IF(data_transmis!BK2="","",data_transmis!BK2)</f>
        <v/>
      </c>
      <c r="BR2" s="24" t="str">
        <f>IF(data_transmis!BL2="","",data_transmis!BL2)</f>
        <v/>
      </c>
      <c r="BS2" s="21" t="str">
        <f>IF(data_transmis!BM2="","",data_transmis!BM2)</f>
        <v/>
      </c>
      <c r="BT2" s="24" t="str">
        <f>IF(data_transmis!BO2="N","Non","Oui")</f>
        <v>Oui</v>
      </c>
      <c r="BU2" s="24" t="str">
        <f>IF(data_transmis!BP2="","",data_transmis!BP2)</f>
        <v/>
      </c>
      <c r="BV2" s="24" t="str">
        <f>RIGHT(data_transmis!BQ2,2)&amp;"/"&amp;LEFT(RIGHT(data_transmis!BQ2,4),2)&amp;"/"&amp;LEFT(data_transmis!BQ2,4)</f>
        <v>//</v>
      </c>
      <c r="BW2" s="24" t="str">
        <f>IF(data_transmis!BR2="","",data_transmis!BR2)</f>
        <v/>
      </c>
      <c r="BX2" s="24" t="str">
        <f>IF(data_transmis!BS2="","",data_transmis!BS2)</f>
        <v/>
      </c>
      <c r="BY2" s="21" t="str">
        <f>IF(data_transmis!BT2="","",data_transmis!BT2)</f>
        <v/>
      </c>
      <c r="BZ2" s="24" t="str">
        <f>IF(data_transmis!BU2="","",data_transmis!BU2)</f>
        <v/>
      </c>
      <c r="CA2" s="24" t="str">
        <f>IF(data_transmis!BV2="","",data_transmis!BV2)</f>
        <v/>
      </c>
      <c r="CB2" s="24" t="str">
        <f>IF(data_transmis!BW2="","",data_transmis!BW2)</f>
        <v/>
      </c>
      <c r="CC2" s="24" t="str">
        <f>IF(data_transmis!BX2="","",data_transmis!BX2)</f>
        <v/>
      </c>
      <c r="CD2" s="24" t="str">
        <f>IF(data_transmis!BY2="","",data_transmis!BY2)</f>
        <v/>
      </c>
      <c r="CE2" s="24" t="str">
        <f>IF(data_transmis!BZ2="","",data_transmis!BZ2)</f>
        <v/>
      </c>
      <c r="CF2" s="24" t="str">
        <f>IF(data_transmis!CA2="","",data_transmis!CA2)</f>
        <v/>
      </c>
      <c r="CG2" s="21" t="str">
        <f>IF(data_transmis!CB2="","",data_transmis!CB2)</f>
        <v/>
      </c>
      <c r="CH2" s="24" t="str">
        <f>IF(data_transmis!CL2="","",data_transmis!CL2)</f>
        <v/>
      </c>
      <c r="CI2" s="24" t="str">
        <f>IF(data_transmis!CM2="","",RIGHT(data_transmis!CM2,2)&amp;"/"&amp;LEFT(RIGHT(data_transmis!CM2,4),2)&amp;"/"&amp;LEFT(data_transmis!CM2,4))</f>
        <v/>
      </c>
      <c r="CJ2" s="24" t="str">
        <f>IF(data_transmis!CN2="","",RIGHT(data_transmis!CN2,2)&amp;"/"&amp;LEFT(RIGHT(data_transmis!CN2,4),2)&amp;"/"&amp;LEFT(data_transmis!CN2,4))</f>
        <v/>
      </c>
      <c r="CK2" s="24" t="str">
        <f>IF(data_transmis!CO2="","",data_transmis!CO2)</f>
        <v/>
      </c>
      <c r="CL2" s="24" t="str">
        <f>IF(data_transmis!CP2="","",RIGHT(data_transmis!CP2,2)&amp;"/"&amp;LEFT(RIGHT(data_transmis!CP2,4),2)&amp;"/"&amp;LEFT(data_transmis!CP2,4))</f>
        <v/>
      </c>
      <c r="CM2" s="24" t="str">
        <f>IF(data_transmis!CQ2="","",RIGHT(data_transmis!CQ2,2)&amp;"/"&amp;LEFT(RIGHT(data_transmis!CQ2,4),2)&amp;"/"&amp;LEFT(data_transmis!CQ2,4))</f>
        <v/>
      </c>
      <c r="CN2" s="24" t="str">
        <f>IF(data_transmis!CR2="","",data_transmis!CR2)</f>
        <v/>
      </c>
      <c r="CO2" s="24" t="str">
        <f>IF(data_transmis!CS2="","",RIGHT(data_transmis!CS2,2)&amp;"/"&amp;LEFT(RIGHT(data_transmis!CS2,4),2)&amp;"/"&amp;LEFT(data_transmis!CS2,4))</f>
        <v/>
      </c>
      <c r="CP2" s="21" t="str">
        <f>IF(data_transmis!CT2="","",RIGHT(data_transmis!CT2,2)&amp;"/"&amp;LEFT(RIGHT(data_transmis!CT2,4),2)&amp;"/"&amp;LEFT(data_transmis!CT2,4))</f>
        <v/>
      </c>
      <c r="CQ2" s="24" t="str">
        <f>IF(data_transmis!CU2="","",data_transmis!CU2)</f>
        <v/>
      </c>
      <c r="CR2" s="24" t="str">
        <f>IF(data_transmis!CV2="","",data_transmis!CV2)</f>
        <v/>
      </c>
      <c r="CS2" s="21" t="str">
        <f>IF(data_transmis!CW2="","",RIGHT(data_transmis!CW2,2)&amp;"/"&amp;LEFT(RIGHT(data_transmis!CW2,4),2)&amp;"/"&amp;LEFT(data_transmis!CW2,4))</f>
        <v/>
      </c>
      <c r="CT2" s="24" t="str">
        <f>IF(data_transmis!CX2="","",data_transmis!CX2)</f>
        <v/>
      </c>
      <c r="CU2" s="24" t="str">
        <f>IF(data_transmis!CY2="","",data_transmis!CY2)</f>
        <v/>
      </c>
      <c r="CV2" s="24" t="str">
        <f>IF(data_transmis!CZ2="","",data_transmis!CZ2)</f>
        <v/>
      </c>
      <c r="CW2" s="24" t="str">
        <f>IF(data_transmis!DA2="","",data_transmis!DA2)</f>
        <v/>
      </c>
      <c r="CX2" s="24" t="str">
        <f>IF(data_transmis!DB2="","",data_transmis!DB2)</f>
        <v/>
      </c>
      <c r="CY2" s="24" t="str">
        <f>IF(data_transmis!DC2="","",data_transmis!DC2)</f>
        <v/>
      </c>
      <c r="CZ2" s="24" t="str">
        <f>IF(data_transmis!DD2="","",data_transmis!DD2)</f>
        <v/>
      </c>
      <c r="DA2" s="24" t="str">
        <f>IF(data_transmis!DE2="","",data_transmis!DE2)</f>
        <v/>
      </c>
      <c r="DB2" s="24" t="str">
        <f>IF(data_transmis!DF2="","",data_transmis!DF2)</f>
        <v/>
      </c>
      <c r="DC2" s="24" t="str">
        <f>IF(data_transmis!DG2="","",data_transmis!DG2)</f>
        <v/>
      </c>
      <c r="DD2" s="24" t="str">
        <f>IF(data_transmis!DH2="","",data_transmis!DH2)</f>
        <v/>
      </c>
      <c r="DE2" s="24" t="str">
        <f>IF(data_transmis!DI2="","",data_transmis!DI2)</f>
        <v/>
      </c>
      <c r="DF2" s="24" t="str">
        <f>IF(data_transmis!DJ2="","",data_transmis!DJ2)</f>
        <v/>
      </c>
      <c r="DG2" s="24" t="str">
        <f>IF(data_transmis!DK2="","",data_transmis!DK2)</f>
        <v/>
      </c>
      <c r="DH2" s="21" t="str">
        <f>IF(data_transmis!DL2="","",data_transmis!DL2)</f>
        <v/>
      </c>
      <c r="DI2" s="24" t="str">
        <f>IF(data_transmis!DM2="","",data_transmis!DM2)</f>
        <v/>
      </c>
      <c r="DJ2" s="24" t="str">
        <f>IF(data_transmis!DN2="","",RIGHT(data_transmis!DN2,2)&amp;"/"&amp;LEFT(RIGHT(data_transmis!DN2,4),2)&amp;"/"&amp;LEFT(data_transmis!DN2,4))</f>
        <v/>
      </c>
      <c r="DK2" s="21" t="str">
        <f>IF(data_transmis!DO2="","",RIGHT(data_transmis!DO2,2)&amp;"/"&amp;LEFT(RIGHT(data_transmis!DO2,4),2)&amp;"/"&amp;LEFT(data_transmis!DO2,4))</f>
        <v/>
      </c>
      <c r="DL2" s="24" t="str">
        <f>IF(data_transmis!DP2="","",data_transmis!DP2)</f>
        <v/>
      </c>
      <c r="DM2" s="21" t="str">
        <f>IF(data_transmis!DQ2="","",RIGHT(data_transmis!DQ2,2)&amp;"/"&amp;LEFT(RIGHT(data_transmis!DQ2,4),2)&amp;"/"&amp;LEFT(data_transmis!DQ2,4))</f>
        <v/>
      </c>
      <c r="DN2" s="24" t="str">
        <f>IF(data_transmis!DX2="","",data_transmis!DX2)</f>
        <v/>
      </c>
      <c r="DO2" s="24" t="str">
        <f>IF(data_transmis!DY2="","",data_transmis!DY2)</f>
        <v/>
      </c>
      <c r="DP2" s="24" t="str">
        <f>IF(data_transmis!DZ2="","",data_transmis!DZ2)</f>
        <v/>
      </c>
      <c r="DQ2" s="24" t="str">
        <f>IF(data_transmis!EA2="","",data_transmis!EA2)</f>
        <v/>
      </c>
      <c r="DR2" s="24" t="str">
        <f>IF(data_transmis!EB2="","",data_transmis!EB2)</f>
        <v/>
      </c>
      <c r="DS2" s="24" t="str">
        <f>IF(data_transmis!EC2="","",data_transmis!EC2)</f>
        <v/>
      </c>
      <c r="DT2" s="21" t="str">
        <f>IF(data_transmis!ED2="","",data_transmis!ED2)</f>
        <v/>
      </c>
    </row>
    <row r="3" spans="1:124" s="12" customFormat="1" x14ac:dyDescent="0.25">
      <c r="A3" s="1"/>
      <c r="B3" s="2"/>
      <c r="C3" s="18"/>
      <c r="D3" s="2"/>
      <c r="E3" s="2"/>
      <c r="F3" s="2"/>
      <c r="G3" s="2"/>
      <c r="H3" s="19"/>
      <c r="I3" s="2"/>
      <c r="J3" s="2"/>
      <c r="K3" s="2"/>
      <c r="L3" s="24" t="str">
        <f>IFERROR(VLOOKUP("CAT_SOCIALE"&amp;data_transmis!M3,'Table correspondance'!C:D,2,0),"")</f>
        <v/>
      </c>
      <c r="M3" s="2"/>
      <c r="N3" s="2"/>
      <c r="O3" s="2"/>
      <c r="P3" s="2"/>
      <c r="Q3" s="21"/>
      <c r="R3" s="2"/>
      <c r="S3" s="2"/>
      <c r="T3" s="2"/>
      <c r="U3" s="21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1"/>
      <c r="AI3" s="2"/>
      <c r="AJ3" s="2"/>
      <c r="AK3" s="2"/>
      <c r="AL3" s="2"/>
      <c r="AM3" s="21"/>
      <c r="AN3" s="2"/>
      <c r="AO3" s="2"/>
      <c r="AP3" s="2"/>
      <c r="AQ3" s="2"/>
      <c r="AR3" s="2"/>
      <c r="AS3" s="2"/>
      <c r="AT3" s="2"/>
      <c r="AU3" s="2"/>
      <c r="AV3" s="21"/>
      <c r="AW3" s="2"/>
      <c r="AX3" s="2"/>
      <c r="AY3" s="2"/>
      <c r="AZ3" s="2"/>
      <c r="BA3" s="21"/>
      <c r="BB3" s="2"/>
      <c r="BC3" s="2"/>
      <c r="BD3" s="2"/>
      <c r="BE3" s="3"/>
      <c r="BF3" s="2"/>
      <c r="BG3" s="2"/>
      <c r="BH3" s="2"/>
      <c r="BI3" s="21"/>
      <c r="BJ3" s="2"/>
      <c r="BK3" s="2"/>
      <c r="BL3" s="2"/>
      <c r="BM3" s="2"/>
      <c r="BN3" s="2"/>
      <c r="BO3" s="2"/>
      <c r="BP3" s="2"/>
      <c r="BQ3" s="2"/>
      <c r="BR3" s="2"/>
      <c r="BS3" s="21"/>
      <c r="BT3" s="2"/>
      <c r="BU3" s="2"/>
      <c r="BV3" s="2"/>
      <c r="BW3" s="2"/>
      <c r="BX3" s="2"/>
      <c r="BY3" s="21"/>
      <c r="BZ3" s="2"/>
      <c r="CA3" s="2"/>
      <c r="CB3" s="2"/>
      <c r="CC3" s="2"/>
      <c r="CD3" s="2"/>
      <c r="CE3" s="2"/>
      <c r="CF3" s="2"/>
      <c r="CG3" s="21"/>
      <c r="CH3" s="2"/>
      <c r="CI3" s="2"/>
      <c r="CJ3" s="2"/>
      <c r="CK3" s="2"/>
      <c r="CL3" s="2"/>
      <c r="CM3" s="2"/>
      <c r="CN3" s="2"/>
      <c r="CO3" s="2"/>
      <c r="CP3" s="21"/>
      <c r="CQ3" s="2"/>
      <c r="CR3" s="2"/>
      <c r="CS3" s="21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1"/>
      <c r="DI3" s="2"/>
      <c r="DJ3" s="2"/>
      <c r="DK3" s="21"/>
      <c r="DL3" s="2"/>
      <c r="DM3" s="21"/>
      <c r="DN3" s="2"/>
      <c r="DO3" s="2"/>
      <c r="DP3" s="2"/>
      <c r="DQ3" s="2"/>
      <c r="DR3" s="2"/>
      <c r="DS3" s="2"/>
      <c r="DT3" s="21"/>
    </row>
    <row r="4" spans="1:124" s="12" customFormat="1" x14ac:dyDescent="0.25">
      <c r="A4" s="1"/>
      <c r="B4" s="2"/>
      <c r="C4" s="18"/>
      <c r="D4" s="2"/>
      <c r="E4" s="2"/>
      <c r="F4" s="2"/>
      <c r="G4" s="2"/>
      <c r="H4" s="19"/>
      <c r="I4" s="2"/>
      <c r="J4" s="2"/>
      <c r="K4" s="2"/>
      <c r="L4" s="24" t="str">
        <f>IFERROR(VLOOKUP("CAT_SOCIALE"&amp;data_transmis!M4,'Table correspondance'!C:D,2,0),"")</f>
        <v/>
      </c>
      <c r="M4" s="2"/>
      <c r="N4" s="2"/>
      <c r="O4" s="2"/>
      <c r="P4" s="2"/>
      <c r="Q4" s="21"/>
      <c r="R4" s="2"/>
      <c r="S4" s="2"/>
      <c r="T4" s="2"/>
      <c r="U4" s="21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1"/>
      <c r="AI4" s="2"/>
      <c r="AJ4" s="2"/>
      <c r="AK4" s="2"/>
      <c r="AL4" s="2"/>
      <c r="AM4" s="21"/>
      <c r="AN4" s="2"/>
      <c r="AO4" s="2"/>
      <c r="AP4" s="2"/>
      <c r="AQ4" s="2"/>
      <c r="AR4" s="2"/>
      <c r="AS4" s="2"/>
      <c r="AT4" s="2"/>
      <c r="AU4" s="2"/>
      <c r="AV4" s="21"/>
      <c r="AW4" s="2"/>
      <c r="AX4" s="2"/>
      <c r="AY4" s="2"/>
      <c r="AZ4" s="2"/>
      <c r="BA4" s="21"/>
      <c r="BB4" s="2"/>
      <c r="BC4" s="2"/>
      <c r="BD4" s="2"/>
      <c r="BE4" s="3"/>
      <c r="BF4" s="2"/>
      <c r="BG4" s="2"/>
      <c r="BH4" s="2"/>
      <c r="BI4" s="21"/>
      <c r="BJ4" s="2"/>
      <c r="BK4" s="2"/>
      <c r="BL4" s="2"/>
      <c r="BM4" s="2"/>
      <c r="BN4" s="2"/>
      <c r="BO4" s="2"/>
      <c r="BP4" s="2"/>
      <c r="BQ4" s="2"/>
      <c r="BR4" s="2"/>
      <c r="BS4" s="21"/>
      <c r="BT4" s="2"/>
      <c r="BU4" s="2"/>
      <c r="BV4" s="2"/>
      <c r="BW4" s="2"/>
      <c r="BX4" s="2"/>
      <c r="BY4" s="21"/>
      <c r="BZ4" s="2"/>
      <c r="CA4" s="2"/>
      <c r="CB4" s="2"/>
      <c r="CC4" s="2"/>
      <c r="CD4" s="2"/>
      <c r="CE4" s="2"/>
      <c r="CF4" s="2"/>
      <c r="CG4" s="21"/>
      <c r="CH4" s="2"/>
      <c r="CI4" s="2"/>
      <c r="CJ4" s="2"/>
      <c r="CK4" s="2"/>
      <c r="CL4" s="2"/>
      <c r="CM4" s="2"/>
      <c r="CN4" s="2"/>
      <c r="CO4" s="2"/>
      <c r="CP4" s="21"/>
      <c r="CQ4" s="2"/>
      <c r="CR4" s="2"/>
      <c r="CS4" s="21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1"/>
      <c r="DI4" s="2"/>
      <c r="DJ4" s="2"/>
      <c r="DK4" s="21"/>
      <c r="DL4" s="2"/>
      <c r="DM4" s="21"/>
      <c r="DN4" s="2"/>
      <c r="DO4" s="2"/>
      <c r="DP4" s="2"/>
      <c r="DQ4" s="2"/>
      <c r="DR4" s="2"/>
      <c r="DS4" s="2"/>
      <c r="DT4" s="21"/>
    </row>
    <row r="5" spans="1:124" x14ac:dyDescent="0.25">
      <c r="H5" s="19"/>
      <c r="L5" s="24" t="str">
        <f>IFERROR(VLOOKUP("CAT_SOCIALE"&amp;data_transmis!M5,'Table correspondance'!C:D,2,0),"")</f>
        <v/>
      </c>
      <c r="Q5" s="21"/>
      <c r="U5" s="21"/>
      <c r="AH5" s="21"/>
      <c r="AM5" s="21"/>
      <c r="AV5" s="21"/>
      <c r="BA5" s="21"/>
      <c r="BI5" s="21"/>
      <c r="BS5" s="21"/>
      <c r="BY5" s="21"/>
      <c r="CG5" s="21"/>
      <c r="CP5" s="21"/>
      <c r="CS5" s="21"/>
      <c r="DH5" s="21"/>
      <c r="DK5" s="21"/>
      <c r="DM5" s="21"/>
      <c r="DT5" s="21"/>
    </row>
    <row r="6" spans="1:124" x14ac:dyDescent="0.25">
      <c r="H6" s="19"/>
      <c r="Q6" s="21"/>
      <c r="U6" s="21"/>
      <c r="AH6" s="21"/>
      <c r="AM6" s="21"/>
      <c r="AV6" s="21"/>
      <c r="BA6" s="21"/>
      <c r="BI6" s="21"/>
      <c r="BS6" s="21"/>
      <c r="BY6" s="21"/>
      <c r="CG6" s="21"/>
      <c r="CP6" s="21"/>
      <c r="CS6" s="21"/>
      <c r="DH6" s="21"/>
      <c r="DK6" s="21"/>
      <c r="DM6" s="21"/>
      <c r="DT6" s="21"/>
    </row>
  </sheetData>
  <sortState ref="A2:DT5">
    <sortCondition ref="H2:H5"/>
    <sortCondition ref="E2:E5"/>
    <sortCondition ref="A2:A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17"/>
  <sheetViews>
    <sheetView tabSelected="1" workbookViewId="0">
      <selection activeCell="A2" sqref="A2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  <row r="2" spans="1:145" x14ac:dyDescent="0.25">
      <c r="DW2" s="15"/>
    </row>
    <row r="3" spans="1:145" x14ac:dyDescent="0.25">
      <c r="DW3" s="15"/>
    </row>
    <row r="4" spans="1:145" x14ac:dyDescent="0.25">
      <c r="DW4" s="15"/>
    </row>
    <row r="7" spans="1:145" x14ac:dyDescent="0.25">
      <c r="DW7" s="15"/>
    </row>
    <row r="8" spans="1:145" x14ac:dyDescent="0.25">
      <c r="DW8" s="15"/>
    </row>
    <row r="9" spans="1:145" x14ac:dyDescent="0.25">
      <c r="DW9" s="15"/>
    </row>
    <row r="10" spans="1:145" x14ac:dyDescent="0.25">
      <c r="DW10" s="15"/>
    </row>
    <row r="11" spans="1:145" x14ac:dyDescent="0.25">
      <c r="DW11" s="15"/>
    </row>
    <row r="12" spans="1:145" x14ac:dyDescent="0.25">
      <c r="DW12" s="15"/>
    </row>
    <row r="13" spans="1:145" x14ac:dyDescent="0.25">
      <c r="DW13" s="15"/>
    </row>
    <row r="17" spans="127:127" x14ac:dyDescent="0.25">
      <c r="DW17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80"/>
  <sheetViews>
    <sheetView workbookViewId="0">
      <selection activeCell="F1" sqref="F1:H1048576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  <col min="6" max="6" width="26.7109375" bestFit="1" customWidth="1"/>
    <col min="7" max="7" width="10.85546875" bestFit="1" customWidth="1"/>
    <col min="8" max="8" width="12.7109375" bestFit="1" customWidth="1"/>
  </cols>
  <sheetData>
    <row r="1" spans="1:8" x14ac:dyDescent="0.25">
      <c r="A1" s="13" t="s">
        <v>623</v>
      </c>
      <c r="B1" s="14" t="s">
        <v>621</v>
      </c>
      <c r="C1" s="14" t="s">
        <v>648</v>
      </c>
      <c r="D1" s="13" t="s">
        <v>622</v>
      </c>
      <c r="F1" s="13" t="s">
        <v>660</v>
      </c>
      <c r="G1" s="13" t="s">
        <v>661</v>
      </c>
      <c r="H1" s="13" t="s">
        <v>662</v>
      </c>
    </row>
    <row r="2" spans="1:8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  <c r="F2" s="27" t="s">
        <v>663</v>
      </c>
      <c r="G2" t="s">
        <v>664</v>
      </c>
      <c r="H2" s="27" t="s">
        <v>665</v>
      </c>
    </row>
    <row r="3" spans="1:8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  <c r="F3" s="27" t="s">
        <v>654</v>
      </c>
      <c r="G3" t="s">
        <v>666</v>
      </c>
      <c r="H3" s="27" t="s">
        <v>667</v>
      </c>
    </row>
    <row r="4" spans="1:8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  <c r="F4" s="27" t="s">
        <v>668</v>
      </c>
      <c r="G4" t="s">
        <v>669</v>
      </c>
      <c r="H4" s="27" t="s">
        <v>670</v>
      </c>
    </row>
    <row r="5" spans="1:8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  <c r="F5" s="27" t="s">
        <v>656</v>
      </c>
      <c r="G5" t="s">
        <v>671</v>
      </c>
      <c r="H5" s="27" t="s">
        <v>672</v>
      </c>
    </row>
    <row r="6" spans="1:8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  <c r="F6" s="27" t="s">
        <v>652</v>
      </c>
      <c r="G6" t="s">
        <v>673</v>
      </c>
      <c r="H6" s="27" t="s">
        <v>674</v>
      </c>
    </row>
    <row r="7" spans="1:8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  <c r="F7" s="27" t="s">
        <v>658</v>
      </c>
      <c r="G7" t="s">
        <v>675</v>
      </c>
      <c r="H7" s="27" t="s">
        <v>676</v>
      </c>
    </row>
    <row r="8" spans="1:8" x14ac:dyDescent="0.25">
      <c r="A8" t="s">
        <v>6</v>
      </c>
      <c r="B8" s="2" t="s">
        <v>192</v>
      </c>
      <c r="C8" s="2" t="str">
        <f t="shared" si="0"/>
        <v>SITUATION_FAMILLEU</v>
      </c>
      <c r="D8" t="s">
        <v>176</v>
      </c>
      <c r="F8" s="27" t="s">
        <v>677</v>
      </c>
      <c r="G8" t="s">
        <v>671</v>
      </c>
      <c r="H8" s="27" t="s">
        <v>678</v>
      </c>
    </row>
    <row r="9" spans="1:8" x14ac:dyDescent="0.25">
      <c r="A9" t="s">
        <v>6</v>
      </c>
      <c r="B9" s="2" t="s">
        <v>193</v>
      </c>
      <c r="C9" s="2" t="str">
        <f t="shared" si="0"/>
        <v>SITUATION_FAMILLEV</v>
      </c>
      <c r="D9" t="s">
        <v>177</v>
      </c>
      <c r="F9" s="27" t="s">
        <v>679</v>
      </c>
      <c r="G9" t="s">
        <v>675</v>
      </c>
      <c r="H9" s="27" t="s">
        <v>680</v>
      </c>
    </row>
    <row r="10" spans="1:8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  <c r="F10" s="27" t="s">
        <v>681</v>
      </c>
      <c r="G10" t="s">
        <v>675</v>
      </c>
      <c r="H10" s="27" t="s">
        <v>682</v>
      </c>
    </row>
    <row r="11" spans="1:8" x14ac:dyDescent="0.2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  <c r="F11" s="27" t="s">
        <v>683</v>
      </c>
      <c r="G11" t="s">
        <v>675</v>
      </c>
      <c r="H11" s="27" t="s">
        <v>684</v>
      </c>
    </row>
    <row r="12" spans="1:8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  <c r="F12" s="27" t="s">
        <v>685</v>
      </c>
      <c r="G12" t="s">
        <v>686</v>
      </c>
      <c r="H12" s="27" t="s">
        <v>687</v>
      </c>
    </row>
    <row r="13" spans="1:8" x14ac:dyDescent="0.25">
      <c r="A13" t="s">
        <v>7</v>
      </c>
      <c r="B13" s="2" t="s">
        <v>194</v>
      </c>
      <c r="C13" s="2" t="str">
        <f t="shared" si="0"/>
        <v>CAT_SOCIALEASM</v>
      </c>
      <c r="D13" t="s">
        <v>181</v>
      </c>
      <c r="F13" s="27" t="s">
        <v>688</v>
      </c>
      <c r="G13" t="s">
        <v>689</v>
      </c>
      <c r="H13" s="27" t="s">
        <v>690</v>
      </c>
    </row>
    <row r="14" spans="1:8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  <c r="F14" s="27" t="s">
        <v>691</v>
      </c>
      <c r="G14" t="s">
        <v>692</v>
      </c>
      <c r="H14" s="27" t="s">
        <v>693</v>
      </c>
    </row>
    <row r="15" spans="1:8" x14ac:dyDescent="0.25">
      <c r="A15" t="s">
        <v>7</v>
      </c>
      <c r="B15" s="2" t="s">
        <v>195</v>
      </c>
      <c r="C15" s="2" t="str">
        <f t="shared" si="0"/>
        <v>CAT_SOCIALEPIM</v>
      </c>
      <c r="D15" t="s">
        <v>183</v>
      </c>
      <c r="F15" s="27" t="s">
        <v>694</v>
      </c>
      <c r="G15" t="s">
        <v>692</v>
      </c>
      <c r="H15" s="27" t="s">
        <v>695</v>
      </c>
    </row>
    <row r="16" spans="1:8" x14ac:dyDescent="0.25">
      <c r="A16" t="s">
        <v>7</v>
      </c>
      <c r="B16" s="2" t="s">
        <v>196</v>
      </c>
      <c r="C16" s="2" t="str">
        <f t="shared" si="0"/>
        <v>CAT_SOCIALERL</v>
      </c>
      <c r="D16" t="s">
        <v>184</v>
      </c>
      <c r="F16" s="27" t="s">
        <v>696</v>
      </c>
      <c r="G16" t="s">
        <v>697</v>
      </c>
      <c r="H16" s="27" t="s">
        <v>698</v>
      </c>
    </row>
    <row r="17" spans="1:8" x14ac:dyDescent="0.25">
      <c r="A17" t="s">
        <v>7</v>
      </c>
      <c r="B17" s="2" t="s">
        <v>197</v>
      </c>
      <c r="C17" s="2" t="str">
        <f t="shared" si="0"/>
        <v>CAT_SOCIALERLM</v>
      </c>
      <c r="D17" t="s">
        <v>185</v>
      </c>
      <c r="F17" s="27" t="s">
        <v>699</v>
      </c>
      <c r="G17" t="s">
        <v>700</v>
      </c>
      <c r="H17" s="27" t="s">
        <v>701</v>
      </c>
    </row>
    <row r="18" spans="1:8" x14ac:dyDescent="0.2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  <c r="F18" s="27" t="s">
        <v>702</v>
      </c>
      <c r="G18" t="s">
        <v>703</v>
      </c>
      <c r="H18" s="27" t="s">
        <v>704</v>
      </c>
    </row>
    <row r="19" spans="1:8" x14ac:dyDescent="0.2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  <c r="F19" s="27" t="s">
        <v>705</v>
      </c>
      <c r="G19" t="s">
        <v>703</v>
      </c>
      <c r="H19" s="27" t="s">
        <v>706</v>
      </c>
    </row>
    <row r="20" spans="1:8" x14ac:dyDescent="0.2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  <c r="F20" s="27" t="s">
        <v>707</v>
      </c>
      <c r="G20" t="s">
        <v>675</v>
      </c>
      <c r="H20" s="27" t="s">
        <v>708</v>
      </c>
    </row>
    <row r="21" spans="1:8" x14ac:dyDescent="0.2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  <c r="F21" s="27" t="s">
        <v>709</v>
      </c>
      <c r="G21" t="s">
        <v>703</v>
      </c>
      <c r="H21" s="27" t="s">
        <v>710</v>
      </c>
    </row>
    <row r="22" spans="1:8" x14ac:dyDescent="0.2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  <c r="F22" s="27" t="s">
        <v>711</v>
      </c>
      <c r="G22" t="s">
        <v>703</v>
      </c>
      <c r="H22" s="27" t="s">
        <v>712</v>
      </c>
    </row>
    <row r="23" spans="1:8" x14ac:dyDescent="0.2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  <c r="F23" s="27" t="s">
        <v>713</v>
      </c>
      <c r="G23" t="s">
        <v>675</v>
      </c>
      <c r="H23" s="27" t="s">
        <v>714</v>
      </c>
    </row>
    <row r="24" spans="1:8" x14ac:dyDescent="0.2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  <c r="F24" s="27" t="s">
        <v>657</v>
      </c>
      <c r="G24" t="s">
        <v>703</v>
      </c>
      <c r="H24" s="27" t="s">
        <v>715</v>
      </c>
    </row>
    <row r="25" spans="1:8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  <c r="F25" s="27" t="s">
        <v>716</v>
      </c>
      <c r="G25" t="s">
        <v>671</v>
      </c>
      <c r="H25" s="27" t="s">
        <v>717</v>
      </c>
    </row>
    <row r="26" spans="1:8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  <c r="F26" s="27" t="s">
        <v>718</v>
      </c>
      <c r="G26" t="s">
        <v>719</v>
      </c>
      <c r="H26" s="27" t="s">
        <v>720</v>
      </c>
    </row>
    <row r="27" spans="1:8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  <c r="F27" s="27" t="s">
        <v>721</v>
      </c>
      <c r="G27" t="s">
        <v>722</v>
      </c>
      <c r="H27" s="27" t="s">
        <v>723</v>
      </c>
    </row>
    <row r="28" spans="1:8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  <c r="F28" s="28" t="s">
        <v>650</v>
      </c>
      <c r="G28" s="29" t="s">
        <v>724</v>
      </c>
      <c r="H28" s="28" t="s">
        <v>725</v>
      </c>
    </row>
    <row r="29" spans="1:8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  <c r="F29" s="27" t="s">
        <v>726</v>
      </c>
      <c r="G29" t="s">
        <v>703</v>
      </c>
      <c r="H29" s="27" t="s">
        <v>727</v>
      </c>
    </row>
    <row r="30" spans="1:8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  <c r="F30" s="27" t="s">
        <v>659</v>
      </c>
      <c r="G30" t="s">
        <v>703</v>
      </c>
      <c r="H30" s="27" t="s">
        <v>728</v>
      </c>
    </row>
    <row r="31" spans="1:8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  <c r="F31" s="27" t="s">
        <v>729</v>
      </c>
      <c r="G31" t="s">
        <v>671</v>
      </c>
      <c r="H31" s="27" t="s">
        <v>730</v>
      </c>
    </row>
    <row r="32" spans="1:8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  <c r="F32" s="27" t="s">
        <v>731</v>
      </c>
      <c r="G32" t="s">
        <v>732</v>
      </c>
      <c r="H32" s="27" t="s">
        <v>733</v>
      </c>
    </row>
    <row r="33" spans="1:8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  <c r="F33" s="27" t="s">
        <v>653</v>
      </c>
      <c r="G33" t="s">
        <v>734</v>
      </c>
      <c r="H33" s="27" t="s">
        <v>735</v>
      </c>
    </row>
    <row r="34" spans="1:8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  <c r="F34" s="27" t="s">
        <v>736</v>
      </c>
      <c r="G34" t="s">
        <v>737</v>
      </c>
      <c r="H34" s="27" t="s">
        <v>738</v>
      </c>
    </row>
    <row r="35" spans="1:8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  <c r="F35" s="27" t="s">
        <v>655</v>
      </c>
      <c r="G35" t="s">
        <v>739</v>
      </c>
      <c r="H35" s="27" t="s">
        <v>740</v>
      </c>
    </row>
    <row r="36" spans="1:8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  <c r="F36" s="27" t="s">
        <v>741</v>
      </c>
      <c r="G36" t="s">
        <v>742</v>
      </c>
      <c r="H36" s="27" t="s">
        <v>743</v>
      </c>
    </row>
    <row r="37" spans="1:8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  <c r="F37" s="27" t="s">
        <v>744</v>
      </c>
      <c r="G37" t="s">
        <v>703</v>
      </c>
      <c r="H37" s="27" t="s">
        <v>745</v>
      </c>
    </row>
    <row r="38" spans="1:8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  <c r="F38" s="27" t="s">
        <v>651</v>
      </c>
      <c r="G38" t="s">
        <v>746</v>
      </c>
      <c r="H38" s="27" t="s">
        <v>747</v>
      </c>
    </row>
    <row r="39" spans="1:8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8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8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8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8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8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8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8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8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8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2018-01-30T12:41:26Z</dcterms:modified>
</cp:coreProperties>
</file>